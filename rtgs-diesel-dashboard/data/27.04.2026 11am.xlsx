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546" documentId="8_{E7FD3CE5-4C88-448F-85C8-CD82766C2821}" xr6:coauthVersionLast="47" xr6:coauthVersionMax="47" xr10:uidLastSave="{B869AF43-6138-4EC9-A407-96C564996F9E}"/>
  <bookViews>
    <workbookView xWindow="-110" yWindow="-110" windowWidth="19420" windowHeight="11500" activeTab="4" xr2:uid="{00000000-000D-0000-FFFF-FFFF00000000}"/>
  </bookViews>
  <sheets>
    <sheet name="OMC wise Summery" sheetId="1" r:id="rId1"/>
    <sheet name="Sheet3" sheetId="7" r:id="rId2"/>
    <sheet name="Sheet2" sheetId="6" r:id="rId3"/>
    <sheet name="Sheet1" sheetId="5" r:id="rId4"/>
    <sheet name="Total Summery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4" hidden="1">'Total Summery'!$A$1:$M$32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5" i="1"/>
  <c r="AB6" i="1" l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5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5" i="1"/>
  <c r="S21" i="1"/>
  <c r="AQ5" i="1"/>
  <c r="AR5" i="1"/>
  <c r="AQ6" i="1"/>
  <c r="AR6" i="1"/>
  <c r="AS5" i="1" l="1"/>
  <c r="AR7" i="1"/>
  <c r="AR8" i="1"/>
  <c r="AS8" i="1" s="1"/>
  <c r="AR9" i="1"/>
  <c r="AR10" i="1"/>
  <c r="AR11" i="1"/>
  <c r="AR12" i="1"/>
  <c r="AR13" i="1"/>
  <c r="AR14" i="1"/>
  <c r="AR15" i="1"/>
  <c r="AR16" i="1"/>
  <c r="AR17" i="1"/>
  <c r="AS17" i="1" s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S30" i="1" s="1"/>
  <c r="AR31" i="1"/>
  <c r="AR32" i="1"/>
  <c r="AQ7" i="1"/>
  <c r="AS7" i="1" s="1"/>
  <c r="AQ8" i="1"/>
  <c r="AQ9" i="1"/>
  <c r="AS9" i="1" s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S23" i="1" s="1"/>
  <c r="AQ24" i="1"/>
  <c r="AQ25" i="1"/>
  <c r="AS25" i="1" s="1"/>
  <c r="AQ26" i="1"/>
  <c r="AQ27" i="1"/>
  <c r="AQ28" i="1"/>
  <c r="AQ29" i="1"/>
  <c r="AQ30" i="1"/>
  <c r="AQ31" i="1"/>
  <c r="AQ32" i="1"/>
  <c r="AF9" i="1"/>
  <c r="AF10" i="1"/>
  <c r="AF13" i="1"/>
  <c r="AF14" i="1"/>
  <c r="AF15" i="1"/>
  <c r="AF22" i="1"/>
  <c r="AF24" i="1"/>
  <c r="AF25" i="1"/>
  <c r="AF19" i="1"/>
  <c r="F22" i="1"/>
  <c r="AT22" i="1" s="1"/>
  <c r="F23" i="1"/>
  <c r="AT23" i="1" s="1"/>
  <c r="F24" i="1"/>
  <c r="AT24" i="1" s="1"/>
  <c r="F14" i="1"/>
  <c r="AT14" i="1" s="1"/>
  <c r="F30" i="1"/>
  <c r="AT30" i="1" s="1"/>
  <c r="S8" i="1"/>
  <c r="S11" i="1"/>
  <c r="S12" i="1"/>
  <c r="S13" i="1"/>
  <c r="S14" i="1"/>
  <c r="S15" i="1"/>
  <c r="S19" i="1"/>
  <c r="S24" i="1"/>
  <c r="S25" i="1"/>
  <c r="S27" i="1"/>
  <c r="S28" i="1"/>
  <c r="S29" i="1"/>
  <c r="S30" i="1"/>
  <c r="S31" i="1"/>
  <c r="F6" i="1"/>
  <c r="AT6" i="1" s="1"/>
  <c r="F8" i="1"/>
  <c r="AT8" i="1" s="1"/>
  <c r="F9" i="1"/>
  <c r="AT9" i="1" s="1"/>
  <c r="AT7" i="1"/>
  <c r="J32" i="4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5" i="1"/>
  <c r="AS32" i="1" l="1"/>
  <c r="AS14" i="1"/>
  <c r="AS10" i="1"/>
  <c r="AS28" i="1"/>
  <c r="AS31" i="1"/>
  <c r="AS22" i="1"/>
  <c r="AS21" i="1"/>
  <c r="AS27" i="1"/>
  <c r="AS15" i="1"/>
  <c r="AS13" i="1"/>
  <c r="AS6" i="1"/>
  <c r="AS24" i="1"/>
  <c r="AS26" i="1"/>
  <c r="AS20" i="1"/>
  <c r="AS12" i="1"/>
  <c r="AS11" i="1"/>
  <c r="AS19" i="1"/>
  <c r="AS18" i="1"/>
  <c r="AS16" i="1"/>
  <c r="AS29" i="1"/>
  <c r="AX33" i="1"/>
  <c r="AP40" i="1" s="1"/>
  <c r="AR33" i="1"/>
  <c r="AF30" i="1"/>
  <c r="AF20" i="1"/>
  <c r="AF29" i="1"/>
  <c r="AF12" i="1"/>
  <c r="AF28" i="1"/>
  <c r="AF11" i="1"/>
  <c r="AF27" i="1"/>
  <c r="AF8" i="1"/>
  <c r="AF31" i="1"/>
  <c r="AF21" i="1"/>
  <c r="AF26" i="1"/>
  <c r="AF7" i="1"/>
  <c r="AF23" i="1"/>
  <c r="AF18" i="1"/>
  <c r="AF17" i="1"/>
  <c r="AF32" i="1"/>
  <c r="AF16" i="1"/>
  <c r="AF6" i="1"/>
  <c r="AE33" i="1"/>
  <c r="AF5" i="1"/>
  <c r="AD33" i="1"/>
  <c r="Q33" i="1"/>
  <c r="S18" i="1"/>
  <c r="S17" i="1"/>
  <c r="S32" i="1"/>
  <c r="S16" i="1"/>
  <c r="F12" i="1"/>
  <c r="AT12" i="1" s="1"/>
  <c r="S23" i="1"/>
  <c r="S7" i="1"/>
  <c r="S20" i="1"/>
  <c r="F10" i="1"/>
  <c r="AT10" i="1" s="1"/>
  <c r="S26" i="1"/>
  <c r="S9" i="1"/>
  <c r="S22" i="1"/>
  <c r="S6" i="1"/>
  <c r="R33" i="1"/>
  <c r="S10" i="1"/>
  <c r="S5" i="1"/>
  <c r="F25" i="1"/>
  <c r="AT25" i="1" s="1"/>
  <c r="F5" i="1"/>
  <c r="AT5" i="1" s="1"/>
  <c r="E33" i="1"/>
  <c r="D33" i="1"/>
  <c r="F28" i="1"/>
  <c r="AT28" i="1" s="1"/>
  <c r="F17" i="1"/>
  <c r="AT17" i="1" s="1"/>
  <c r="F32" i="1"/>
  <c r="AT32" i="1" s="1"/>
  <c r="F16" i="1"/>
  <c r="AT16" i="1" s="1"/>
  <c r="F26" i="1"/>
  <c r="AT26" i="1" s="1"/>
  <c r="F31" i="1"/>
  <c r="AT31" i="1" s="1"/>
  <c r="F15" i="1"/>
  <c r="AT15" i="1" s="1"/>
  <c r="F21" i="1"/>
  <c r="AT21" i="1" s="1"/>
  <c r="F20" i="1"/>
  <c r="AT20" i="1" s="1"/>
  <c r="F19" i="1"/>
  <c r="AT19" i="1" s="1"/>
  <c r="F18" i="1"/>
  <c r="AT18" i="1" s="1"/>
  <c r="F29" i="1"/>
  <c r="AT29" i="1" s="1"/>
  <c r="F13" i="1"/>
  <c r="AT13" i="1" s="1"/>
  <c r="F27" i="1"/>
  <c r="AT27" i="1" s="1"/>
  <c r="F11" i="1"/>
  <c r="AT11" i="1" s="1"/>
  <c r="X33" i="1"/>
  <c r="K33" i="1"/>
  <c r="H32" i="4"/>
  <c r="I32" i="4"/>
  <c r="K32" i="4"/>
  <c r="L32" i="4"/>
  <c r="M32" i="4"/>
  <c r="N32" i="4"/>
  <c r="O32" i="4"/>
  <c r="G32" i="4"/>
  <c r="AS33" i="1" l="1"/>
  <c r="AP36" i="1" s="1"/>
  <c r="C44" i="4"/>
  <c r="E40" i="1"/>
  <c r="H44" i="4"/>
  <c r="Q40" i="1"/>
  <c r="AF33" i="1"/>
  <c r="AE36" i="1" s="1"/>
  <c r="S33" i="1"/>
  <c r="H40" i="4" l="1"/>
  <c r="Q36" i="1"/>
  <c r="M40" i="4"/>
  <c r="AH33" i="1"/>
  <c r="J33" i="1"/>
  <c r="C43" i="4" s="1"/>
  <c r="U33" i="1"/>
  <c r="AU33" i="1" l="1"/>
  <c r="D32" i="4"/>
  <c r="E32" i="4"/>
  <c r="F32" i="4"/>
  <c r="H33" i="1" l="1"/>
  <c r="C32" i="4"/>
  <c r="AQ33" i="1" l="1"/>
  <c r="AM33" i="1"/>
  <c r="AL33" i="1"/>
  <c r="AE41" i="1" l="1"/>
  <c r="M45" i="4"/>
  <c r="AE42" i="1"/>
  <c r="M46" i="4"/>
  <c r="V33" i="1"/>
  <c r="H42" i="4" l="1"/>
  <c r="Q38" i="1"/>
  <c r="W33" i="1"/>
  <c r="Q39" i="1" l="1"/>
  <c r="H43" i="4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5" i="1"/>
  <c r="Y33" i="1" l="1"/>
  <c r="AB33" i="1"/>
  <c r="AA33" i="1"/>
  <c r="AI33" i="1"/>
  <c r="M42" i="4" s="1"/>
  <c r="AJ33" i="1"/>
  <c r="M43" i="4" s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5" i="1"/>
  <c r="AP21" i="1" l="1"/>
  <c r="AP8" i="1"/>
  <c r="AP7" i="1"/>
  <c r="AE39" i="1"/>
  <c r="AE38" i="1"/>
  <c r="Q41" i="1"/>
  <c r="H45" i="4"/>
  <c r="AV33" i="1"/>
  <c r="AP38" i="1" s="1"/>
  <c r="AN33" i="1"/>
  <c r="AO33" i="1"/>
  <c r="C6" i="1"/>
  <c r="AP6" i="1" s="1"/>
  <c r="C7" i="1"/>
  <c r="C8" i="1"/>
  <c r="C9" i="1"/>
  <c r="AP9" i="1" s="1"/>
  <c r="C10" i="1"/>
  <c r="AP10" i="1" s="1"/>
  <c r="C11" i="1"/>
  <c r="AP11" i="1" s="1"/>
  <c r="C12" i="1"/>
  <c r="AP12" i="1" s="1"/>
  <c r="C13" i="1"/>
  <c r="AP13" i="1" s="1"/>
  <c r="C14" i="1"/>
  <c r="AP14" i="1" s="1"/>
  <c r="C15" i="1"/>
  <c r="AP15" i="1" s="1"/>
  <c r="C16" i="1"/>
  <c r="AP16" i="1" s="1"/>
  <c r="C17" i="1"/>
  <c r="AP17" i="1" s="1"/>
  <c r="C18" i="1"/>
  <c r="AP18" i="1" s="1"/>
  <c r="C19" i="1"/>
  <c r="AP19" i="1" s="1"/>
  <c r="C20" i="1"/>
  <c r="AP20" i="1" s="1"/>
  <c r="C21" i="1"/>
  <c r="C22" i="1"/>
  <c r="AP22" i="1" s="1"/>
  <c r="C23" i="1"/>
  <c r="AP23" i="1" s="1"/>
  <c r="C24" i="1"/>
  <c r="AP24" i="1" s="1"/>
  <c r="C25" i="1"/>
  <c r="AP25" i="1" s="1"/>
  <c r="C26" i="1"/>
  <c r="AP26" i="1" s="1"/>
  <c r="C27" i="1"/>
  <c r="AP27" i="1" s="1"/>
  <c r="C28" i="1"/>
  <c r="AP28" i="1" s="1"/>
  <c r="C29" i="1"/>
  <c r="AP29" i="1" s="1"/>
  <c r="C30" i="1"/>
  <c r="AP30" i="1" s="1"/>
  <c r="C31" i="1"/>
  <c r="AP31" i="1" s="1"/>
  <c r="C32" i="1"/>
  <c r="AP32" i="1" s="1"/>
  <c r="C5" i="1"/>
  <c r="AP5" i="1" s="1"/>
  <c r="AT33" i="1" l="1"/>
  <c r="AP37" i="1" s="1"/>
  <c r="BA33" i="1"/>
  <c r="BB33" i="1"/>
  <c r="O33" i="1"/>
  <c r="N33" i="1"/>
  <c r="L33" i="1"/>
  <c r="M33" i="1"/>
  <c r="I33" i="1"/>
  <c r="C42" i="4" s="1"/>
  <c r="G33" i="1"/>
  <c r="C41" i="4" s="1"/>
  <c r="P33" i="1"/>
  <c r="Z33" i="1"/>
  <c r="T33" i="1"/>
  <c r="H41" i="4" s="1"/>
  <c r="AG33" i="1"/>
  <c r="M41" i="4" s="1"/>
  <c r="AK33" i="1"/>
  <c r="AC33" i="1"/>
  <c r="C33" i="1"/>
  <c r="F33" i="1"/>
  <c r="M44" i="4" l="1"/>
  <c r="AE40" i="1"/>
  <c r="E36" i="1"/>
  <c r="C40" i="4"/>
  <c r="E39" i="1"/>
  <c r="E42" i="1"/>
  <c r="C46" i="4"/>
  <c r="Q42" i="1"/>
  <c r="H46" i="4"/>
  <c r="E41" i="1"/>
  <c r="C45" i="4"/>
  <c r="AE37" i="1"/>
  <c r="E37" i="1"/>
  <c r="Q37" i="1"/>
  <c r="E38" i="1"/>
  <c r="AZ33" i="1"/>
  <c r="AP42" i="1" s="1"/>
  <c r="AY33" i="1"/>
  <c r="AP41" i="1" s="1"/>
  <c r="AW33" i="1"/>
  <c r="AP39" i="1" s="1"/>
  <c r="AP33" i="1"/>
</calcChain>
</file>

<file path=xl/sharedStrings.xml><?xml version="1.0" encoding="utf-8"?>
<sst xmlns="http://schemas.openxmlformats.org/spreadsheetml/2006/main" count="279" uniqueCount="91">
  <si>
    <t>Eluru</t>
  </si>
  <si>
    <t>Guntur</t>
  </si>
  <si>
    <t>Palnadu</t>
  </si>
  <si>
    <t>West Godavari</t>
  </si>
  <si>
    <t>NTR</t>
  </si>
  <si>
    <t>East Godavari</t>
  </si>
  <si>
    <t>Kakinada</t>
  </si>
  <si>
    <t>Vizianagaram</t>
  </si>
  <si>
    <t>Markapuram</t>
  </si>
  <si>
    <t>S.NO</t>
  </si>
  <si>
    <t>IOCL</t>
  </si>
  <si>
    <t>HPCL</t>
  </si>
  <si>
    <t>BPCL</t>
  </si>
  <si>
    <t>Quantity Despatched</t>
  </si>
  <si>
    <t>Anakapalli</t>
  </si>
  <si>
    <t>Srikakulam</t>
  </si>
  <si>
    <t>Bapatla</t>
  </si>
  <si>
    <t>Polavaram</t>
  </si>
  <si>
    <t xml:space="preserve"> Total</t>
  </si>
  <si>
    <t>Distroct Name</t>
  </si>
  <si>
    <t>MS
(in KL)</t>
  </si>
  <si>
    <t>HSD
(in KL)</t>
  </si>
  <si>
    <t>Total Outlets Count</t>
  </si>
  <si>
    <t>ANANTAPUR</t>
  </si>
  <si>
    <t>CHITTOOR</t>
  </si>
  <si>
    <t>TIRUPATHI</t>
  </si>
  <si>
    <t>PRAKASAM</t>
  </si>
  <si>
    <t>PARVATHIPURAM MANYAM</t>
  </si>
  <si>
    <t>YSR Kadapa</t>
  </si>
  <si>
    <t>Dr Ambedkar Konaseema</t>
  </si>
  <si>
    <t>ALLURI SEETHARAMA RAJU</t>
  </si>
  <si>
    <t>Grand Total</t>
  </si>
  <si>
    <t>District Name</t>
  </si>
  <si>
    <t>Quantity Dispatched</t>
  </si>
  <si>
    <t>VISAKHAPATNAM</t>
  </si>
  <si>
    <t>NANDYAL</t>
  </si>
  <si>
    <t>SPS NELLORE</t>
  </si>
  <si>
    <t>ANNAMAYYA</t>
  </si>
  <si>
    <t>SRI SATYA SAI</t>
  </si>
  <si>
    <t>No of Outlets Dry out reported by OMCs</t>
  </si>
  <si>
    <t>Total Loads Planned</t>
  </si>
  <si>
    <t>No. of Loads Dispatched</t>
  </si>
  <si>
    <t>Nozzle Sales</t>
  </si>
  <si>
    <t>Loads Planned</t>
  </si>
  <si>
    <t>Loads Dispatched</t>
  </si>
  <si>
    <t>Quantity Dispatched MS (in KL)</t>
  </si>
  <si>
    <t>Quantity Dispatched HSD (in KL)</t>
  </si>
  <si>
    <t>Total Dry Outs reported by Districts</t>
  </si>
  <si>
    <t>Total Dry Outs reported by OMCs</t>
  </si>
  <si>
    <t>Dry Outs as per Districts</t>
  </si>
  <si>
    <t>Dry Outs as per OMCs</t>
  </si>
  <si>
    <t>Loads Planned for Today</t>
  </si>
  <si>
    <t>Loads Dispatched Today</t>
  </si>
  <si>
    <t>IOCL- Normal Scenario</t>
  </si>
  <si>
    <t>IOCL- Present Status</t>
  </si>
  <si>
    <t>Avg. No. of Load Dispatches</t>
  </si>
  <si>
    <t>Avg. Qty. of MS Dispatches (in KL)</t>
  </si>
  <si>
    <t>Avg. Qty.  Of HSD Dispatches (in KL)</t>
  </si>
  <si>
    <t>Loads Delivered Today</t>
  </si>
  <si>
    <t>Qty. of Dispatched MS Today (in KL)</t>
  </si>
  <si>
    <t>Qty. of HSD Dispatched Today (in KL)</t>
  </si>
  <si>
    <t>HPCL- Normal Scenario</t>
  </si>
  <si>
    <t>HPCL- Present Status</t>
  </si>
  <si>
    <t>BPCL- Normal Scenario</t>
  </si>
  <si>
    <t>BPCL- Present Status</t>
  </si>
  <si>
    <t>Reported by Districts</t>
  </si>
  <si>
    <t>Total Dry outs</t>
  </si>
  <si>
    <t>Total Loads Indented by RO</t>
  </si>
  <si>
    <t>No. of Loads Dispatched to RO</t>
  </si>
  <si>
    <t>Total Indents Raised by RO</t>
  </si>
  <si>
    <t>No. of Loads Received</t>
  </si>
  <si>
    <t>Total Loads Received</t>
  </si>
  <si>
    <t>Loand Received</t>
  </si>
  <si>
    <t>Loads Received</t>
  </si>
  <si>
    <t>Annamayya</t>
  </si>
  <si>
    <t>Chittoor</t>
  </si>
  <si>
    <t>Kurnool</t>
  </si>
  <si>
    <t>Prakasam</t>
  </si>
  <si>
    <t>Sri Satya Sai</t>
  </si>
  <si>
    <t>Visakhapatnam</t>
  </si>
  <si>
    <t>New dryout</t>
  </si>
  <si>
    <t>Old Dryout</t>
  </si>
  <si>
    <t>Nandyal</t>
  </si>
  <si>
    <t>Parvathipuram Manyam</t>
  </si>
  <si>
    <t>new</t>
  </si>
  <si>
    <t>old</t>
  </si>
  <si>
    <t>No. of Loads Delivered to RO</t>
  </si>
  <si>
    <t>Krishna</t>
  </si>
  <si>
    <t>New Dry outs Added on 28.04.2026</t>
  </si>
  <si>
    <t>Out of Total Dry outs reported as on yesterday still Continueing</t>
  </si>
  <si>
    <t xml:space="preserve"> District wise Dry Out outlets and disptach Report as on 28-04-2026 @ 11.00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</si>
</sst>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mbria"/>
      <family val="1"/>
    </font>
    <font>
      <b/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/>
    <xf numFmtId="1" fontId="2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0" fontId="7" fillId="7" borderId="0" xfId="0" applyFont="1" applyFill="1"/>
    <xf numFmtId="0" fontId="6" fillId="7" borderId="0" xfId="0" applyFont="1" applyFill="1"/>
    <xf numFmtId="0" fontId="2" fillId="5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" fontId="9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1" fontId="7" fillId="7" borderId="0" xfId="0" applyNumberFormat="1" applyFont="1" applyFill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0" borderId="3" xfId="0" applyBorder="1"/>
    <xf numFmtId="0" fontId="0" fillId="7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1" fontId="7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1" fontId="7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1" fontId="2" fillId="7" borderId="0" xfId="0" applyNumberFormat="1" applyFont="1" applyFill="1" applyAlignment="1">
      <alignment horizontal="center" vertical="center" wrapText="1"/>
    </xf>
    <xf numFmtId="0" fontId="5" fillId="7" borderId="7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8" fillId="8" borderId="8" xfId="0" applyFont="1" applyFill="1" applyBorder="1"/>
    <xf numFmtId="1" fontId="2" fillId="4" borderId="1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wrapText="1"/>
    </xf>
    <xf numFmtId="0" fontId="2" fillId="7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pmcs\Downloads\27.04.2026\27-04-2026%2012%20AM%20OMCs%20Consolated%20Data%20on%20%20MS%20HSD%20Supplies-IOC.xlsx" TargetMode="External"/><Relationship Id="rId1" Type="http://schemas.openxmlformats.org/officeDocument/2006/relationships/externalLinkPath" Target="file:///C:\Users\spmcs\Downloads\27.04.2026\27-04-2026%2012%20AM%20OMCs%20Consolated%20Data%20on%20%20MS%20HSD%20Supplies-IO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pmcs\Downloads\27.04.2026\HPC%2027-04-2026%2012%20AM%20OMCs%20Consolated%20Data%20on%20%20MS%20HSD%20Supplies%20-%201200.xlsx" TargetMode="External"/><Relationship Id="rId1" Type="http://schemas.openxmlformats.org/officeDocument/2006/relationships/externalLinkPath" Target="file:///C:\Users\spmcs\Downloads\27.04.2026\HPC%2027-04-2026%2012%20AM%20OMCs%20Consolated%20Data%20on%20%20MS%20HSD%20Supplies%20-%20120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pmcs\Downloads\27.04.2026\27-04-2026%2012%20AM%20OMCs%20Consolated%20Data%20on%20%20MS%20HSD%20Supplies.xlsx" TargetMode="External"/><Relationship Id="rId1" Type="http://schemas.openxmlformats.org/officeDocument/2006/relationships/externalLinkPath" Target="file:///C:\Users\spmcs\Downloads\27.04.2026\27-04-2026%2012%20AM%20OMCs%20Consolated%20Data%20on%20%20MS%20HSD%20Suppli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pmcs\Downloads\28.04.2026\IOC-MS%20HSD%20reporting%20format%2011am%20280426.xlsx" TargetMode="External"/><Relationship Id="rId1" Type="http://schemas.openxmlformats.org/officeDocument/2006/relationships/externalLinkPath" Target="file:///C:\Users\spmcs\Downloads\28.04.2026\IOC-MS%20HSD%20reporting%20format%2011am%202804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pmcs\Downloads\28.04.2026\HPC%2028-04-2026%201100%20AM%20OMCs%20Consolated%20Data%20on%20%20MS%20HSD%20Supplies%20for%2028th.xlsx" TargetMode="External"/><Relationship Id="rId1" Type="http://schemas.openxmlformats.org/officeDocument/2006/relationships/externalLinkPath" Target="file:///C:\Users\spmcs\Downloads\28.04.2026\HPC%2028-04-2026%201100%20AM%20OMCs%20Consolated%20Data%20on%20%20MS%20HSD%20Supplies%20for%2028t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pmcs\Downloads\28.04.2026\BPC%20MS%20HSD%20reporting%20format%201100%20HRS.xlsx" TargetMode="External"/><Relationship Id="rId1" Type="http://schemas.openxmlformats.org/officeDocument/2006/relationships/externalLinkPath" Target="file:///C:\Users\spmcs\Downloads\28.04.2026\BPC%20MS%20HSD%20reporting%20format%201100%20H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Sheet"/>
      <sheetName val="List of Dry outs"/>
    </sheetNames>
    <sheetDataSet>
      <sheetData sheetId="0">
        <row r="2">
          <cell r="C2"/>
          <cell r="D2" t="str">
            <v>Total Outlets Count</v>
          </cell>
        </row>
        <row r="3">
          <cell r="C3"/>
          <cell r="D3"/>
        </row>
        <row r="4">
          <cell r="C4" t="str">
            <v>Srikakulam</v>
          </cell>
          <cell r="D4">
            <v>64</v>
          </cell>
        </row>
        <row r="5">
          <cell r="C5" t="str">
            <v>Vizianagaram</v>
          </cell>
          <cell r="D5">
            <v>57</v>
          </cell>
        </row>
        <row r="6">
          <cell r="C6" t="str">
            <v>PARVATHIPURAM MANYAM</v>
          </cell>
          <cell r="D6">
            <v>20</v>
          </cell>
        </row>
        <row r="7">
          <cell r="C7" t="str">
            <v>Visakhapatnam</v>
          </cell>
          <cell r="D7">
            <v>39</v>
          </cell>
        </row>
        <row r="8">
          <cell r="C8" t="str">
            <v>Anakapalli</v>
          </cell>
          <cell r="D8">
            <v>61</v>
          </cell>
        </row>
        <row r="9">
          <cell r="C9" t="str">
            <v>Polavaram</v>
          </cell>
          <cell r="D9"/>
        </row>
        <row r="10">
          <cell r="C10" t="str">
            <v>East Godavari</v>
          </cell>
          <cell r="D10">
            <v>80</v>
          </cell>
        </row>
        <row r="11">
          <cell r="C11" t="str">
            <v>Kakinada</v>
          </cell>
          <cell r="D11">
            <v>68</v>
          </cell>
        </row>
        <row r="12">
          <cell r="C12" t="str">
            <v>ALLURI SEETHARAMA RAJU</v>
          </cell>
          <cell r="D12">
            <v>8</v>
          </cell>
        </row>
        <row r="13">
          <cell r="C13" t="str">
            <v>Dr Ambedkar Konaseema</v>
          </cell>
          <cell r="D13">
            <v>48</v>
          </cell>
        </row>
        <row r="14">
          <cell r="C14" t="str">
            <v>West Godavari</v>
          </cell>
          <cell r="D14">
            <v>86</v>
          </cell>
        </row>
        <row r="15">
          <cell r="C15" t="str">
            <v>Eluru</v>
          </cell>
          <cell r="D15">
            <v>91</v>
          </cell>
        </row>
        <row r="16">
          <cell r="C16" t="str">
            <v>Guntur</v>
          </cell>
          <cell r="D16">
            <v>78</v>
          </cell>
        </row>
        <row r="17">
          <cell r="C17" t="str">
            <v>NTR</v>
          </cell>
          <cell r="D17">
            <v>87</v>
          </cell>
        </row>
        <row r="18">
          <cell r="C18" t="str">
            <v>krishna</v>
          </cell>
          <cell r="D18">
            <v>84</v>
          </cell>
        </row>
        <row r="19">
          <cell r="C19" t="str">
            <v>Bapatla</v>
          </cell>
          <cell r="D19">
            <v>63</v>
          </cell>
        </row>
        <row r="20">
          <cell r="C20" t="str">
            <v>Palnadu</v>
          </cell>
          <cell r="D20">
            <v>95</v>
          </cell>
        </row>
        <row r="21">
          <cell r="C21" t="str">
            <v>Nandyal</v>
          </cell>
          <cell r="D21">
            <v>62</v>
          </cell>
        </row>
        <row r="22">
          <cell r="C22" t="str">
            <v>kurnool</v>
          </cell>
          <cell r="D22">
            <v>63</v>
          </cell>
        </row>
        <row r="23">
          <cell r="C23" t="str">
            <v>YSR Kadapa</v>
          </cell>
          <cell r="D23">
            <v>85</v>
          </cell>
        </row>
        <row r="24">
          <cell r="C24" t="str">
            <v>ANANTAPUR</v>
          </cell>
          <cell r="D24">
            <v>110</v>
          </cell>
        </row>
        <row r="25">
          <cell r="C25" t="str">
            <v>SPS Nellore</v>
          </cell>
          <cell r="D25">
            <v>100</v>
          </cell>
        </row>
        <row r="26">
          <cell r="C26" t="str">
            <v>Tirupathi</v>
          </cell>
          <cell r="D26">
            <v>91</v>
          </cell>
        </row>
        <row r="27">
          <cell r="C27" t="str">
            <v>Markapuram</v>
          </cell>
          <cell r="D27"/>
        </row>
        <row r="28">
          <cell r="C28" t="str">
            <v>Prakasam</v>
          </cell>
          <cell r="D28">
            <v>100</v>
          </cell>
        </row>
        <row r="29">
          <cell r="C29" t="str">
            <v>Chittoor</v>
          </cell>
          <cell r="D29">
            <v>74</v>
          </cell>
        </row>
        <row r="30">
          <cell r="C30" t="str">
            <v>Annamayya</v>
          </cell>
          <cell r="D30">
            <v>53</v>
          </cell>
        </row>
        <row r="31">
          <cell r="C31" t="str">
            <v>Sri Satya Sai</v>
          </cell>
          <cell r="D31">
            <v>71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Sheet"/>
      <sheetName val="List of Dry outs"/>
    </sheetNames>
    <sheetDataSet>
      <sheetData sheetId="0">
        <row r="2">
          <cell r="C2"/>
          <cell r="D2" t="str">
            <v>Total Outlets Count</v>
          </cell>
          <cell r="E2" t="str">
            <v>No of Outlets Dry out</v>
          </cell>
          <cell r="F2" t="str">
            <v>No of loads Planned</v>
          </cell>
          <cell r="G2" t="str">
            <v>No of Loads Executed.</v>
          </cell>
          <cell r="H2" t="str">
            <v>Quantity Despatched</v>
          </cell>
          <cell r="I2"/>
          <cell r="J2" t="str">
            <v>Nozles Sales</v>
          </cell>
          <cell r="K2"/>
          <cell r="L2" t="str">
            <v>Total Outlets Count</v>
          </cell>
        </row>
        <row r="3">
          <cell r="C3"/>
          <cell r="D3"/>
          <cell r="E3"/>
          <cell r="F3"/>
          <cell r="G3"/>
          <cell r="H3" t="str">
            <v>MS
(in KL)</v>
          </cell>
          <cell r="I3" t="str">
            <v>HSD
(in KL)</v>
          </cell>
          <cell r="J3" t="str">
            <v>MS
(in KL)</v>
          </cell>
          <cell r="K3" t="str">
            <v>HSD
(in KL)</v>
          </cell>
          <cell r="L3"/>
        </row>
        <row r="4">
          <cell r="C4" t="str">
            <v>Srikakulam</v>
          </cell>
          <cell r="D4"/>
          <cell r="E4"/>
          <cell r="F4"/>
          <cell r="G4"/>
          <cell r="H4"/>
          <cell r="I4"/>
          <cell r="J4"/>
          <cell r="K4"/>
          <cell r="L4">
            <v>37</v>
          </cell>
        </row>
        <row r="5">
          <cell r="C5" t="str">
            <v>Vizianagaram</v>
          </cell>
          <cell r="D5"/>
          <cell r="E5"/>
          <cell r="F5"/>
          <cell r="G5"/>
          <cell r="H5"/>
          <cell r="I5"/>
          <cell r="J5"/>
          <cell r="K5"/>
          <cell r="L5">
            <v>38</v>
          </cell>
        </row>
        <row r="6">
          <cell r="C6" t="str">
            <v>PARVATHIPURAM MANYAM</v>
          </cell>
          <cell r="D6"/>
          <cell r="E6"/>
          <cell r="F6"/>
          <cell r="G6"/>
          <cell r="H6"/>
          <cell r="I6"/>
          <cell r="J6"/>
          <cell r="K6"/>
          <cell r="L6">
            <v>22</v>
          </cell>
        </row>
        <row r="7">
          <cell r="C7" t="str">
            <v>Visakhapatnam</v>
          </cell>
          <cell r="D7"/>
          <cell r="E7"/>
          <cell r="F7"/>
          <cell r="G7"/>
          <cell r="H7"/>
          <cell r="I7"/>
          <cell r="J7"/>
          <cell r="K7"/>
          <cell r="L7">
            <v>42</v>
          </cell>
        </row>
        <row r="8">
          <cell r="C8" t="str">
            <v>Anakapalli</v>
          </cell>
          <cell r="D8"/>
          <cell r="E8"/>
          <cell r="F8"/>
          <cell r="G8"/>
          <cell r="H8"/>
          <cell r="I8"/>
          <cell r="J8"/>
          <cell r="K8"/>
          <cell r="L8">
            <v>68</v>
          </cell>
        </row>
        <row r="9">
          <cell r="C9" t="str">
            <v>Polavaram</v>
          </cell>
          <cell r="D9"/>
          <cell r="E9"/>
          <cell r="F9"/>
          <cell r="G9"/>
          <cell r="H9"/>
          <cell r="I9"/>
          <cell r="J9"/>
          <cell r="K9"/>
          <cell r="L9"/>
        </row>
        <row r="10">
          <cell r="C10" t="str">
            <v>East Godavari</v>
          </cell>
          <cell r="D10"/>
          <cell r="E10"/>
          <cell r="F10"/>
          <cell r="G10"/>
          <cell r="H10"/>
          <cell r="I10"/>
          <cell r="J10"/>
          <cell r="K10"/>
          <cell r="L10">
            <v>64</v>
          </cell>
        </row>
        <row r="11">
          <cell r="C11" t="str">
            <v>Kakinada</v>
          </cell>
          <cell r="D11"/>
          <cell r="E11"/>
          <cell r="F11"/>
          <cell r="G11"/>
          <cell r="H11"/>
          <cell r="I11"/>
          <cell r="J11"/>
          <cell r="K11"/>
          <cell r="L11">
            <v>72</v>
          </cell>
        </row>
        <row r="12">
          <cell r="C12" t="str">
            <v>ALLURI SEETHARAMA RAJU</v>
          </cell>
          <cell r="D12"/>
          <cell r="E12"/>
          <cell r="F12"/>
          <cell r="G12"/>
          <cell r="H12"/>
          <cell r="I12"/>
          <cell r="J12"/>
          <cell r="K12"/>
          <cell r="L12">
            <v>20</v>
          </cell>
        </row>
        <row r="13">
          <cell r="C13" t="str">
            <v>Dr Ambedkar Konaseema</v>
          </cell>
          <cell r="D13"/>
          <cell r="E13"/>
          <cell r="F13"/>
          <cell r="G13"/>
          <cell r="H13"/>
          <cell r="I13"/>
          <cell r="J13"/>
          <cell r="K13"/>
          <cell r="L13">
            <v>38</v>
          </cell>
        </row>
        <row r="14">
          <cell r="C14" t="str">
            <v>West Godavari</v>
          </cell>
          <cell r="D14"/>
          <cell r="E14"/>
          <cell r="F14"/>
          <cell r="G14"/>
          <cell r="H14"/>
          <cell r="I14"/>
          <cell r="J14"/>
          <cell r="K14"/>
          <cell r="L14">
            <v>41</v>
          </cell>
        </row>
        <row r="15">
          <cell r="C15" t="str">
            <v>Eluru</v>
          </cell>
          <cell r="D15" t="str">
            <v xml:space="preserve"> </v>
          </cell>
          <cell r="E15" t="str">
            <v xml:space="preserve"> </v>
          </cell>
          <cell r="F15"/>
          <cell r="G15"/>
          <cell r="H15" t="str">
            <v xml:space="preserve"> </v>
          </cell>
          <cell r="I15"/>
          <cell r="J15" t="str">
            <v xml:space="preserve"> </v>
          </cell>
          <cell r="K15"/>
          <cell r="L15">
            <v>69</v>
          </cell>
        </row>
        <row r="16">
          <cell r="C16" t="str">
            <v>Guntur</v>
          </cell>
          <cell r="D16" t="str">
            <v xml:space="preserve"> </v>
          </cell>
          <cell r="E16" t="str">
            <v xml:space="preserve"> </v>
          </cell>
          <cell r="F16"/>
          <cell r="G16"/>
          <cell r="H16" t="str">
            <v xml:space="preserve">  </v>
          </cell>
          <cell r="I16"/>
          <cell r="J16" t="str">
            <v xml:space="preserve"> </v>
          </cell>
          <cell r="K16"/>
          <cell r="L16">
            <v>62</v>
          </cell>
        </row>
        <row r="17">
          <cell r="C17" t="str">
            <v>NTR</v>
          </cell>
          <cell r="D17"/>
          <cell r="E17"/>
          <cell r="F17"/>
          <cell r="G17"/>
          <cell r="H17"/>
          <cell r="I17"/>
          <cell r="J17"/>
          <cell r="K17"/>
          <cell r="L17">
            <v>81</v>
          </cell>
        </row>
        <row r="18">
          <cell r="C18" t="str">
            <v>krishna</v>
          </cell>
          <cell r="D18"/>
          <cell r="E18"/>
          <cell r="F18"/>
          <cell r="G18"/>
          <cell r="H18"/>
          <cell r="I18"/>
          <cell r="J18"/>
          <cell r="K18"/>
          <cell r="L18">
            <v>47</v>
          </cell>
        </row>
        <row r="19">
          <cell r="C19" t="str">
            <v>Bapatla</v>
          </cell>
          <cell r="D19"/>
          <cell r="E19"/>
          <cell r="F19"/>
          <cell r="G19"/>
          <cell r="H19"/>
          <cell r="I19"/>
          <cell r="J19"/>
          <cell r="K19"/>
          <cell r="L19">
            <v>39</v>
          </cell>
        </row>
        <row r="20">
          <cell r="C20" t="str">
            <v>Palnadu</v>
          </cell>
          <cell r="D20" t="str">
            <v xml:space="preserve"> </v>
          </cell>
          <cell r="E20" t="str">
            <v xml:space="preserve"> </v>
          </cell>
          <cell r="F20"/>
          <cell r="G20"/>
          <cell r="H20" t="str">
            <v xml:space="preserve"> </v>
          </cell>
          <cell r="I20"/>
          <cell r="J20" t="str">
            <v xml:space="preserve"> </v>
          </cell>
          <cell r="K20"/>
          <cell r="L20">
            <v>52</v>
          </cell>
        </row>
        <row r="21">
          <cell r="C21" t="str">
            <v>Nandyal</v>
          </cell>
          <cell r="D21" t="str">
            <v xml:space="preserve"> </v>
          </cell>
          <cell r="E21" t="str">
            <v xml:space="preserve"> </v>
          </cell>
          <cell r="F21"/>
          <cell r="G21"/>
          <cell r="H21" t="str">
            <v xml:space="preserve"> </v>
          </cell>
          <cell r="I21"/>
          <cell r="J21" t="str">
            <v xml:space="preserve"> </v>
          </cell>
          <cell r="K21"/>
          <cell r="L21">
            <v>81</v>
          </cell>
        </row>
        <row r="22">
          <cell r="C22" t="str">
            <v>kurnool</v>
          </cell>
          <cell r="D22" t="str">
            <v xml:space="preserve"> </v>
          </cell>
          <cell r="E22" t="str">
            <v xml:space="preserve"> </v>
          </cell>
          <cell r="F22"/>
          <cell r="G22"/>
          <cell r="H22" t="str">
            <v xml:space="preserve"> </v>
          </cell>
          <cell r="I22"/>
          <cell r="J22" t="str">
            <v xml:space="preserve"> </v>
          </cell>
          <cell r="K22"/>
          <cell r="L22">
            <v>62</v>
          </cell>
        </row>
        <row r="23">
          <cell r="C23" t="str">
            <v>YSR Kadapa</v>
          </cell>
          <cell r="D23" t="str">
            <v xml:space="preserve"> </v>
          </cell>
          <cell r="E23" t="str">
            <v xml:space="preserve"> </v>
          </cell>
          <cell r="F23"/>
          <cell r="G23"/>
          <cell r="H23" t="str">
            <v xml:space="preserve"> </v>
          </cell>
          <cell r="I23"/>
          <cell r="J23" t="str">
            <v xml:space="preserve"> </v>
          </cell>
          <cell r="K23"/>
          <cell r="L23">
            <v>85</v>
          </cell>
        </row>
        <row r="24">
          <cell r="C24" t="str">
            <v>ANANTAPUR</v>
          </cell>
          <cell r="D24" t="str">
            <v xml:space="preserve"> </v>
          </cell>
          <cell r="E24" t="str">
            <v xml:space="preserve"> </v>
          </cell>
          <cell r="F24"/>
          <cell r="G24"/>
          <cell r="H24" t="str">
            <v xml:space="preserve"> </v>
          </cell>
          <cell r="I24"/>
          <cell r="J24" t="str">
            <v xml:space="preserve"> </v>
          </cell>
          <cell r="K24"/>
          <cell r="L24">
            <v>65</v>
          </cell>
        </row>
        <row r="25">
          <cell r="C25" t="str">
            <v>SPS Nellore</v>
          </cell>
          <cell r="D25" t="str">
            <v xml:space="preserve"> </v>
          </cell>
          <cell r="E25" t="str">
            <v xml:space="preserve"> </v>
          </cell>
          <cell r="F25"/>
          <cell r="G25"/>
          <cell r="H25" t="str">
            <v xml:space="preserve"> </v>
          </cell>
          <cell r="I25"/>
          <cell r="J25" t="str">
            <v xml:space="preserve"> </v>
          </cell>
          <cell r="K25"/>
          <cell r="L25">
            <v>86</v>
          </cell>
        </row>
        <row r="26">
          <cell r="C26" t="str">
            <v>Tirupathi</v>
          </cell>
          <cell r="D26" t="str">
            <v xml:space="preserve"> </v>
          </cell>
          <cell r="E26" t="str">
            <v xml:space="preserve"> </v>
          </cell>
          <cell r="F26"/>
          <cell r="G26"/>
          <cell r="H26" t="str">
            <v xml:space="preserve"> </v>
          </cell>
          <cell r="I26"/>
          <cell r="J26" t="str">
            <v xml:space="preserve"> </v>
          </cell>
          <cell r="K26"/>
          <cell r="L26">
            <v>58</v>
          </cell>
        </row>
        <row r="27">
          <cell r="C27" t="str">
            <v>Markapuram</v>
          </cell>
          <cell r="D27" t="str">
            <v xml:space="preserve"> </v>
          </cell>
          <cell r="E27" t="str">
            <v xml:space="preserve"> </v>
          </cell>
          <cell r="F27"/>
          <cell r="G27"/>
          <cell r="H27" t="str">
            <v xml:space="preserve"> </v>
          </cell>
          <cell r="I27"/>
          <cell r="J27"/>
          <cell r="K27"/>
          <cell r="L27">
            <v>35</v>
          </cell>
        </row>
        <row r="28">
          <cell r="C28" t="str">
            <v>PRAKASAM</v>
          </cell>
          <cell r="D28" t="str">
            <v xml:space="preserve"> </v>
          </cell>
          <cell r="E28" t="str">
            <v xml:space="preserve"> </v>
          </cell>
          <cell r="F28"/>
          <cell r="G28"/>
          <cell r="H28" t="str">
            <v xml:space="preserve"> </v>
          </cell>
          <cell r="I28"/>
          <cell r="J28"/>
          <cell r="K28"/>
          <cell r="L28">
            <v>82</v>
          </cell>
        </row>
        <row r="29">
          <cell r="C29" t="str">
            <v>CHITTOOR</v>
          </cell>
          <cell r="D29" t="str">
            <v xml:space="preserve"> </v>
          </cell>
          <cell r="E29" t="str">
            <v xml:space="preserve"> </v>
          </cell>
          <cell r="F29"/>
          <cell r="G29"/>
          <cell r="H29" t="str">
            <v xml:space="preserve"> </v>
          </cell>
          <cell r="I29"/>
          <cell r="J29"/>
          <cell r="K29"/>
          <cell r="L29">
            <v>54</v>
          </cell>
        </row>
        <row r="30">
          <cell r="C30" t="str">
            <v>Annamayya</v>
          </cell>
          <cell r="D30"/>
          <cell r="E30"/>
          <cell r="F30"/>
          <cell r="G30"/>
          <cell r="H30" t="str">
            <v xml:space="preserve"> </v>
          </cell>
          <cell r="I30"/>
          <cell r="J30"/>
          <cell r="K30"/>
          <cell r="L30">
            <v>40</v>
          </cell>
        </row>
        <row r="31">
          <cell r="C31" t="str">
            <v>Sri Satya Sai</v>
          </cell>
          <cell r="D31"/>
          <cell r="E31"/>
          <cell r="F31"/>
          <cell r="G31"/>
          <cell r="H31"/>
          <cell r="I31"/>
          <cell r="J31"/>
          <cell r="K31"/>
          <cell r="L31">
            <v>33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Sheet"/>
      <sheetName val="List of Dry outs"/>
    </sheetNames>
    <sheetDataSet>
      <sheetData sheetId="0">
        <row r="2">
          <cell r="C2"/>
          <cell r="D2" t="str">
            <v>Total Outlets Count</v>
          </cell>
          <cell r="E2" t="str">
            <v>No of Outlets Dry out</v>
          </cell>
          <cell r="F2" t="str">
            <v>No of loads Planned</v>
          </cell>
          <cell r="G2" t="str">
            <v>No of Loads Executed.</v>
          </cell>
          <cell r="H2" t="str">
            <v>Quantity Despatched</v>
          </cell>
          <cell r="I2"/>
          <cell r="J2" t="str">
            <v>Nozles Sales</v>
          </cell>
          <cell r="K2"/>
          <cell r="L2" t="str">
            <v>Total Outlets Count</v>
          </cell>
          <cell r="M2" t="str">
            <v>No of Outlets Dry out</v>
          </cell>
          <cell r="N2" t="str">
            <v>No of Loads Planned</v>
          </cell>
          <cell r="O2" t="str">
            <v>No of Loads Executed</v>
          </cell>
          <cell r="P2" t="str">
            <v>Quantity Despatched</v>
          </cell>
          <cell r="Q2"/>
          <cell r="R2" t="str">
            <v>Nozles Sales</v>
          </cell>
          <cell r="S2"/>
          <cell r="T2" t="str">
            <v>Total Outlets Count</v>
          </cell>
        </row>
        <row r="3">
          <cell r="C3"/>
          <cell r="D3"/>
          <cell r="E3"/>
          <cell r="F3"/>
          <cell r="G3"/>
          <cell r="H3" t="str">
            <v>MS
(in KL)</v>
          </cell>
          <cell r="I3" t="str">
            <v>HSD
(in KL)</v>
          </cell>
          <cell r="J3" t="str">
            <v>MS
(in KL)</v>
          </cell>
          <cell r="K3" t="str">
            <v>HSD
(in KL)</v>
          </cell>
          <cell r="L3"/>
          <cell r="M3"/>
          <cell r="N3"/>
          <cell r="O3"/>
          <cell r="P3" t="str">
            <v>MS
(in KL)</v>
          </cell>
          <cell r="Q3" t="str">
            <v>HSD
(in KL)</v>
          </cell>
          <cell r="R3" t="str">
            <v>MS
(in KL)</v>
          </cell>
          <cell r="S3" t="str">
            <v>HSD
(in KL)</v>
          </cell>
          <cell r="T3"/>
        </row>
        <row r="4">
          <cell r="C4" t="str">
            <v>Srikakulam</v>
          </cell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>
            <v>42</v>
          </cell>
        </row>
        <row r="5">
          <cell r="C5" t="str">
            <v>Vizianagaram</v>
          </cell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>
            <v>34</v>
          </cell>
        </row>
        <row r="6">
          <cell r="C6" t="str">
            <v>PARVATHIPURAM MANYAM</v>
          </cell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>
            <v>11</v>
          </cell>
        </row>
        <row r="7">
          <cell r="C7" t="str">
            <v>Visakhapatnam</v>
          </cell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>
            <v>41</v>
          </cell>
        </row>
        <row r="8">
          <cell r="C8" t="str">
            <v>Anakapalli</v>
          </cell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>
            <v>47</v>
          </cell>
        </row>
        <row r="9">
          <cell r="C9" t="str">
            <v>Polavaram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>
            <v>3</v>
          </cell>
        </row>
        <row r="10">
          <cell r="C10" t="str">
            <v>East Godavari</v>
          </cell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>
            <v>48</v>
          </cell>
        </row>
        <row r="11">
          <cell r="C11" t="str">
            <v>Kakinada</v>
          </cell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>
            <v>42</v>
          </cell>
        </row>
        <row r="12">
          <cell r="C12" t="str">
            <v>ALLURI SEETHARAMA RAJU</v>
          </cell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>
            <v>7</v>
          </cell>
        </row>
        <row r="13">
          <cell r="C13" t="str">
            <v>Dr Ambedkar Konaseema</v>
          </cell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>
            <v>22</v>
          </cell>
        </row>
        <row r="14">
          <cell r="C14" t="str">
            <v>West Godavari</v>
          </cell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>
            <v>34</v>
          </cell>
        </row>
        <row r="15">
          <cell r="C15" t="str">
            <v>Eluru</v>
          </cell>
          <cell r="D15" t="str">
            <v xml:space="preserve"> </v>
          </cell>
          <cell r="E15" t="str">
            <v xml:space="preserve"> </v>
          </cell>
          <cell r="F15"/>
          <cell r="G15"/>
          <cell r="H15" t="str">
            <v xml:space="preserve"> </v>
          </cell>
          <cell r="I15"/>
          <cell r="J15" t="str">
            <v xml:space="preserve"> </v>
          </cell>
          <cell r="K15"/>
          <cell r="L15"/>
          <cell r="M15"/>
          <cell r="N15"/>
          <cell r="O15"/>
          <cell r="P15"/>
          <cell r="Q15"/>
          <cell r="R15"/>
          <cell r="S15"/>
          <cell r="T15">
            <v>67</v>
          </cell>
        </row>
        <row r="16">
          <cell r="C16" t="str">
            <v>Guntur</v>
          </cell>
          <cell r="D16" t="str">
            <v xml:space="preserve"> </v>
          </cell>
          <cell r="E16" t="str">
            <v xml:space="preserve"> </v>
          </cell>
          <cell r="F16"/>
          <cell r="G16"/>
          <cell r="H16" t="str">
            <v xml:space="preserve">  </v>
          </cell>
          <cell r="I16"/>
          <cell r="J16" t="str">
            <v xml:space="preserve"> </v>
          </cell>
          <cell r="K16"/>
          <cell r="L16"/>
          <cell r="M16"/>
          <cell r="N16"/>
          <cell r="O16"/>
          <cell r="P16"/>
          <cell r="Q16"/>
          <cell r="R16"/>
          <cell r="S16"/>
          <cell r="T16">
            <v>56</v>
          </cell>
        </row>
        <row r="17">
          <cell r="C17" t="str">
            <v>NTR</v>
          </cell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>
            <v>46</v>
          </cell>
        </row>
        <row r="18">
          <cell r="C18" t="str">
            <v>krishna</v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>
            <v>44</v>
          </cell>
        </row>
        <row r="19">
          <cell r="C19" t="str">
            <v>Bapatla</v>
          </cell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>
            <v>42</v>
          </cell>
        </row>
        <row r="20">
          <cell r="C20" t="str">
            <v>Palnadu</v>
          </cell>
          <cell r="D20" t="str">
            <v xml:space="preserve"> </v>
          </cell>
          <cell r="E20" t="str">
            <v xml:space="preserve"> </v>
          </cell>
          <cell r="F20"/>
          <cell r="G20"/>
          <cell r="H20" t="str">
            <v xml:space="preserve"> </v>
          </cell>
          <cell r="I20"/>
          <cell r="J20" t="str">
            <v xml:space="preserve"> </v>
          </cell>
          <cell r="K20"/>
          <cell r="L20"/>
          <cell r="M20"/>
          <cell r="N20"/>
          <cell r="O20"/>
          <cell r="P20"/>
          <cell r="Q20"/>
          <cell r="R20"/>
          <cell r="S20"/>
          <cell r="T20">
            <v>72</v>
          </cell>
        </row>
        <row r="21">
          <cell r="C21" t="str">
            <v>Nandyal</v>
          </cell>
          <cell r="D21" t="str">
            <v xml:space="preserve"> </v>
          </cell>
          <cell r="E21" t="str">
            <v xml:space="preserve"> </v>
          </cell>
          <cell r="F21"/>
          <cell r="G21"/>
          <cell r="H21" t="str">
            <v xml:space="preserve"> </v>
          </cell>
          <cell r="I21"/>
          <cell r="J21" t="str">
            <v xml:space="preserve"> </v>
          </cell>
          <cell r="K21"/>
          <cell r="L21"/>
          <cell r="M21"/>
          <cell r="N21"/>
          <cell r="O21"/>
          <cell r="P21"/>
          <cell r="Q21"/>
          <cell r="R21"/>
          <cell r="S21"/>
          <cell r="T21">
            <v>36</v>
          </cell>
        </row>
        <row r="22">
          <cell r="C22" t="str">
            <v>kurnool</v>
          </cell>
          <cell r="D22" t="str">
            <v xml:space="preserve"> </v>
          </cell>
          <cell r="E22" t="str">
            <v xml:space="preserve"> </v>
          </cell>
          <cell r="F22"/>
          <cell r="G22"/>
          <cell r="H22" t="str">
            <v xml:space="preserve"> </v>
          </cell>
          <cell r="I22"/>
          <cell r="J22" t="str">
            <v xml:space="preserve"> </v>
          </cell>
          <cell r="K22"/>
          <cell r="L22"/>
          <cell r="M22"/>
          <cell r="N22"/>
          <cell r="O22"/>
          <cell r="P22"/>
          <cell r="Q22"/>
          <cell r="R22"/>
          <cell r="S22"/>
          <cell r="T22">
            <v>40</v>
          </cell>
        </row>
        <row r="23">
          <cell r="C23" t="str">
            <v>YSR Kadapa</v>
          </cell>
          <cell r="D23" t="str">
            <v xml:space="preserve"> </v>
          </cell>
          <cell r="E23" t="str">
            <v xml:space="preserve"> </v>
          </cell>
          <cell r="F23"/>
          <cell r="G23"/>
          <cell r="H23" t="str">
            <v xml:space="preserve"> </v>
          </cell>
          <cell r="I23"/>
          <cell r="J23" t="str">
            <v xml:space="preserve"> </v>
          </cell>
          <cell r="K23"/>
          <cell r="L23"/>
          <cell r="M23"/>
          <cell r="N23"/>
          <cell r="O23"/>
          <cell r="P23"/>
          <cell r="Q23"/>
          <cell r="R23"/>
          <cell r="S23"/>
          <cell r="T23">
            <v>61</v>
          </cell>
        </row>
        <row r="24">
          <cell r="C24" t="str">
            <v>ANANTAPUR</v>
          </cell>
          <cell r="D24" t="str">
            <v xml:space="preserve"> </v>
          </cell>
          <cell r="E24" t="str">
            <v xml:space="preserve"> </v>
          </cell>
          <cell r="F24"/>
          <cell r="G24"/>
          <cell r="H24" t="str">
            <v xml:space="preserve"> </v>
          </cell>
          <cell r="I24"/>
          <cell r="J24" t="str">
            <v xml:space="preserve"> </v>
          </cell>
          <cell r="K24"/>
          <cell r="L24"/>
          <cell r="M24"/>
          <cell r="N24"/>
          <cell r="O24"/>
          <cell r="P24"/>
          <cell r="Q24"/>
          <cell r="R24"/>
          <cell r="S24"/>
          <cell r="T24">
            <v>37</v>
          </cell>
        </row>
        <row r="25">
          <cell r="C25" t="str">
            <v>SPS Nellore</v>
          </cell>
          <cell r="D25" t="str">
            <v xml:space="preserve"> </v>
          </cell>
          <cell r="E25" t="str">
            <v xml:space="preserve"> </v>
          </cell>
          <cell r="F25"/>
          <cell r="G25"/>
          <cell r="H25" t="str">
            <v xml:space="preserve"> </v>
          </cell>
          <cell r="I25"/>
          <cell r="J25" t="str">
            <v xml:space="preserve"> </v>
          </cell>
          <cell r="K25"/>
          <cell r="L25"/>
          <cell r="M25"/>
          <cell r="N25"/>
          <cell r="O25"/>
          <cell r="P25"/>
          <cell r="Q25"/>
          <cell r="R25"/>
          <cell r="S25"/>
          <cell r="T25">
            <v>85</v>
          </cell>
        </row>
        <row r="26">
          <cell r="C26" t="str">
            <v>Tirupathi</v>
          </cell>
          <cell r="D26" t="str">
            <v xml:space="preserve"> </v>
          </cell>
          <cell r="E26" t="str">
            <v xml:space="preserve"> </v>
          </cell>
          <cell r="F26"/>
          <cell r="G26"/>
          <cell r="H26" t="str">
            <v xml:space="preserve"> </v>
          </cell>
          <cell r="I26"/>
          <cell r="J26" t="str">
            <v xml:space="preserve"> </v>
          </cell>
          <cell r="K26"/>
          <cell r="L26"/>
          <cell r="M26"/>
          <cell r="N26"/>
          <cell r="O26"/>
          <cell r="P26"/>
          <cell r="Q26"/>
          <cell r="R26"/>
          <cell r="S26"/>
          <cell r="T26">
            <v>61</v>
          </cell>
        </row>
        <row r="27">
          <cell r="C27" t="str">
            <v>Markapuram</v>
          </cell>
          <cell r="D27" t="str">
            <v xml:space="preserve"> </v>
          </cell>
          <cell r="E27" t="str">
            <v xml:space="preserve"> </v>
          </cell>
          <cell r="F27"/>
          <cell r="G27"/>
          <cell r="H27" t="str">
            <v xml:space="preserve"> </v>
          </cell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>
            <v>32</v>
          </cell>
        </row>
        <row r="28">
          <cell r="C28" t="str">
            <v>PRAKASAM</v>
          </cell>
          <cell r="D28" t="str">
            <v xml:space="preserve"> </v>
          </cell>
          <cell r="E28" t="str">
            <v xml:space="preserve"> </v>
          </cell>
          <cell r="F28"/>
          <cell r="G28"/>
          <cell r="H28" t="str">
            <v xml:space="preserve"> </v>
          </cell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>
            <v>40</v>
          </cell>
        </row>
        <row r="29">
          <cell r="C29" t="str">
            <v>CHITTOOR</v>
          </cell>
          <cell r="D29" t="str">
            <v xml:space="preserve"> </v>
          </cell>
          <cell r="E29" t="str">
            <v xml:space="preserve"> </v>
          </cell>
          <cell r="F29"/>
          <cell r="G29"/>
          <cell r="H29" t="str">
            <v xml:space="preserve"> </v>
          </cell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>
            <v>31</v>
          </cell>
        </row>
        <row r="30">
          <cell r="C30" t="str">
            <v>Annamayya</v>
          </cell>
          <cell r="D30"/>
          <cell r="E30"/>
          <cell r="F30"/>
          <cell r="G30"/>
          <cell r="H30" t="str">
            <v xml:space="preserve"> </v>
          </cell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>
            <v>43</v>
          </cell>
        </row>
        <row r="31">
          <cell r="C31" t="str">
            <v>Sri Satya Sai</v>
          </cell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>
            <v>25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MC wise Summery"/>
    </sheetNames>
    <sheetDataSet>
      <sheetData sheetId="0">
        <row r="1">
          <cell r="C1" t="str">
            <v>Total Outlets Count</v>
          </cell>
          <cell r="D1" t="str">
            <v>No of Outlets Dry out reported by OMCs</v>
          </cell>
          <cell r="E1" t="str">
            <v>Total Indents Raised</v>
          </cell>
          <cell r="F1" t="str">
            <v>Total Loads Under Loadng</v>
          </cell>
          <cell r="G1" t="str">
            <v>No. of Loads Dispatched</v>
          </cell>
          <cell r="H1" t="str">
            <v xml:space="preserve">No. of Loads Delivered </v>
          </cell>
          <cell r="I1" t="str">
            <v>Quantity Dispatched</v>
          </cell>
          <cell r="K1" t="str">
            <v>Avg Nozzle Sales</v>
          </cell>
        </row>
        <row r="2">
          <cell r="I2" t="str">
            <v>MS
(in KL)</v>
          </cell>
          <cell r="J2" t="str">
            <v>HSD
(in KL)</v>
          </cell>
          <cell r="K2" t="str">
            <v>MS
(in KL)</v>
          </cell>
          <cell r="L2" t="str">
            <v>HSD
(in KL)</v>
          </cell>
        </row>
        <row r="3">
          <cell r="B3" t="str">
            <v>Srikakulam</v>
          </cell>
          <cell r="C3">
            <v>64</v>
          </cell>
          <cell r="D3">
            <v>1</v>
          </cell>
          <cell r="E3">
            <v>32</v>
          </cell>
          <cell r="F3">
            <v>6</v>
          </cell>
          <cell r="G3">
            <v>6.9999999999999991</v>
          </cell>
          <cell r="H3">
            <v>0</v>
          </cell>
          <cell r="I3">
            <v>47</v>
          </cell>
          <cell r="J3">
            <v>77</v>
          </cell>
          <cell r="K3">
            <v>89.070857142857164</v>
          </cell>
          <cell r="L3">
            <v>119.45399999999998</v>
          </cell>
        </row>
        <row r="4">
          <cell r="B4" t="str">
            <v>Vizianagaram</v>
          </cell>
          <cell r="C4">
            <v>57</v>
          </cell>
          <cell r="D4">
            <v>1</v>
          </cell>
          <cell r="E4">
            <v>24</v>
          </cell>
          <cell r="F4">
            <v>6</v>
          </cell>
          <cell r="G4">
            <v>4</v>
          </cell>
          <cell r="H4">
            <v>0</v>
          </cell>
          <cell r="I4">
            <v>24</v>
          </cell>
          <cell r="J4">
            <v>44</v>
          </cell>
          <cell r="K4">
            <v>53.657000000000011</v>
          </cell>
          <cell r="L4">
            <v>96.369857142857128</v>
          </cell>
        </row>
        <row r="5">
          <cell r="B5" t="str">
            <v>PARVATHIPURAM MANYAM</v>
          </cell>
          <cell r="C5">
            <v>20</v>
          </cell>
          <cell r="D5">
            <v>0</v>
          </cell>
          <cell r="E5">
            <v>9</v>
          </cell>
          <cell r="F5">
            <v>1</v>
          </cell>
          <cell r="G5">
            <v>1</v>
          </cell>
          <cell r="H5">
            <v>0</v>
          </cell>
          <cell r="I5">
            <v>4</v>
          </cell>
          <cell r="J5">
            <v>8</v>
          </cell>
          <cell r="K5">
            <v>19.216714285714289</v>
          </cell>
          <cell r="L5">
            <v>31.007285714285718</v>
          </cell>
        </row>
        <row r="6">
          <cell r="B6" t="str">
            <v>VISAKHAPATNAM</v>
          </cell>
          <cell r="C6">
            <v>39</v>
          </cell>
          <cell r="D6">
            <v>2</v>
          </cell>
          <cell r="E6">
            <v>21</v>
          </cell>
          <cell r="F6">
            <v>4</v>
          </cell>
          <cell r="G6">
            <v>13</v>
          </cell>
          <cell r="H6">
            <v>0</v>
          </cell>
          <cell r="I6">
            <v>83</v>
          </cell>
          <cell r="J6">
            <v>148</v>
          </cell>
          <cell r="K6">
            <v>102.0287142857143</v>
          </cell>
          <cell r="L6">
            <v>150.93928571428575</v>
          </cell>
        </row>
        <row r="7">
          <cell r="B7" t="str">
            <v>Anakapalli</v>
          </cell>
          <cell r="C7">
            <v>61</v>
          </cell>
          <cell r="D7">
            <v>3</v>
          </cell>
          <cell r="E7">
            <v>35.000000000000007</v>
          </cell>
          <cell r="F7">
            <v>5</v>
          </cell>
          <cell r="G7">
            <v>13</v>
          </cell>
          <cell r="H7">
            <v>0</v>
          </cell>
          <cell r="I7">
            <v>61</v>
          </cell>
          <cell r="J7">
            <v>185</v>
          </cell>
          <cell r="K7">
            <v>77.132857142857162</v>
          </cell>
          <cell r="L7">
            <v>235.57500000000002</v>
          </cell>
        </row>
        <row r="8">
          <cell r="B8" t="str">
            <v>Polavaram</v>
          </cell>
          <cell r="D8">
            <v>0</v>
          </cell>
        </row>
        <row r="9">
          <cell r="B9" t="str">
            <v>East Godavari</v>
          </cell>
          <cell r="C9">
            <v>80</v>
          </cell>
          <cell r="D9">
            <v>5</v>
          </cell>
          <cell r="E9">
            <v>57.000000000000007</v>
          </cell>
          <cell r="F9">
            <v>4</v>
          </cell>
          <cell r="G9">
            <v>29</v>
          </cell>
          <cell r="H9">
            <v>7</v>
          </cell>
          <cell r="I9">
            <v>138</v>
          </cell>
          <cell r="J9">
            <v>260</v>
          </cell>
          <cell r="K9">
            <v>160.51485714285718</v>
          </cell>
          <cell r="L9">
            <v>217.53628571428564</v>
          </cell>
        </row>
        <row r="10">
          <cell r="B10" t="str">
            <v>Kakinada</v>
          </cell>
          <cell r="C10">
            <v>68</v>
          </cell>
          <cell r="D10">
            <v>5</v>
          </cell>
          <cell r="E10">
            <v>27</v>
          </cell>
          <cell r="F10">
            <v>2</v>
          </cell>
          <cell r="G10">
            <v>15</v>
          </cell>
          <cell r="H10">
            <v>0</v>
          </cell>
          <cell r="I10">
            <v>97</v>
          </cell>
          <cell r="J10">
            <v>150</v>
          </cell>
          <cell r="K10">
            <v>100.27242857142853</v>
          </cell>
          <cell r="L10">
            <v>152.26999999999998</v>
          </cell>
        </row>
        <row r="11">
          <cell r="B11" t="str">
            <v>ALLURI SEETHARAMA RAJU</v>
          </cell>
          <cell r="C11">
            <v>8</v>
          </cell>
          <cell r="D11">
            <v>1</v>
          </cell>
          <cell r="E11">
            <v>5</v>
          </cell>
          <cell r="F11">
            <v>0</v>
          </cell>
          <cell r="G11">
            <v>1</v>
          </cell>
          <cell r="H11">
            <v>0</v>
          </cell>
          <cell r="I11">
            <v>4</v>
          </cell>
          <cell r="J11">
            <v>8</v>
          </cell>
          <cell r="K11">
            <v>18.648285714285713</v>
          </cell>
          <cell r="L11">
            <v>16.256714285714285</v>
          </cell>
        </row>
        <row r="12">
          <cell r="B12" t="str">
            <v>Dr Ambedkar Konaseema</v>
          </cell>
          <cell r="C12">
            <v>48</v>
          </cell>
          <cell r="D12">
            <v>1</v>
          </cell>
          <cell r="E12">
            <v>25</v>
          </cell>
          <cell r="F12">
            <v>3</v>
          </cell>
          <cell r="G12">
            <v>8</v>
          </cell>
          <cell r="H12">
            <v>0</v>
          </cell>
          <cell r="I12">
            <v>32</v>
          </cell>
          <cell r="J12">
            <v>78</v>
          </cell>
          <cell r="K12">
            <v>92.134571428571419</v>
          </cell>
          <cell r="L12">
            <v>125.35699999999999</v>
          </cell>
        </row>
        <row r="13">
          <cell r="B13" t="str">
            <v>West Godavari</v>
          </cell>
          <cell r="C13">
            <v>86</v>
          </cell>
          <cell r="D13">
            <v>3</v>
          </cell>
          <cell r="E13">
            <v>49.999999999999993</v>
          </cell>
          <cell r="F13">
            <v>3</v>
          </cell>
          <cell r="G13">
            <v>17</v>
          </cell>
          <cell r="H13">
            <v>5</v>
          </cell>
          <cell r="I13">
            <v>91</v>
          </cell>
          <cell r="J13">
            <v>167</v>
          </cell>
          <cell r="K13">
            <v>131.84528571428575</v>
          </cell>
          <cell r="L13">
            <v>197.92414285714284</v>
          </cell>
        </row>
        <row r="14">
          <cell r="B14" t="str">
            <v>Eluru</v>
          </cell>
          <cell r="C14">
            <v>91</v>
          </cell>
          <cell r="D14">
            <v>6</v>
          </cell>
          <cell r="E14">
            <v>40</v>
          </cell>
          <cell r="F14">
            <v>2</v>
          </cell>
          <cell r="G14">
            <v>3</v>
          </cell>
          <cell r="H14">
            <v>0</v>
          </cell>
          <cell r="I14">
            <v>25</v>
          </cell>
          <cell r="J14">
            <v>29</v>
          </cell>
          <cell r="K14">
            <v>115.53428571428574</v>
          </cell>
          <cell r="L14">
            <v>164.46399999999991</v>
          </cell>
        </row>
        <row r="15">
          <cell r="B15" t="str">
            <v>Guntur</v>
          </cell>
          <cell r="C15">
            <v>78</v>
          </cell>
          <cell r="D15">
            <v>5</v>
          </cell>
          <cell r="E15">
            <v>42.000000000000007</v>
          </cell>
          <cell r="F15">
            <v>6</v>
          </cell>
          <cell r="G15">
            <v>9</v>
          </cell>
          <cell r="H15">
            <v>3</v>
          </cell>
          <cell r="I15">
            <v>67</v>
          </cell>
          <cell r="J15">
            <v>76</v>
          </cell>
          <cell r="K15">
            <v>135.79357142857143</v>
          </cell>
          <cell r="L15">
            <v>186.7851428571428</v>
          </cell>
        </row>
        <row r="16">
          <cell r="B16" t="str">
            <v>NTR</v>
          </cell>
          <cell r="C16">
            <v>87</v>
          </cell>
          <cell r="D16">
            <v>3</v>
          </cell>
          <cell r="E16">
            <v>47.000000000000007</v>
          </cell>
          <cell r="F16">
            <v>4</v>
          </cell>
          <cell r="G16">
            <v>14</v>
          </cell>
          <cell r="H16">
            <v>1</v>
          </cell>
          <cell r="I16">
            <v>104</v>
          </cell>
          <cell r="J16">
            <v>109</v>
          </cell>
          <cell r="K16">
            <v>153.91442857142854</v>
          </cell>
          <cell r="L16">
            <v>268.27357142857136</v>
          </cell>
        </row>
        <row r="17">
          <cell r="B17" t="str">
            <v>krishna</v>
          </cell>
          <cell r="C17">
            <v>84</v>
          </cell>
          <cell r="D17">
            <v>4</v>
          </cell>
          <cell r="E17">
            <v>30</v>
          </cell>
          <cell r="F17">
            <v>1</v>
          </cell>
          <cell r="G17">
            <v>11</v>
          </cell>
          <cell r="H17">
            <v>4</v>
          </cell>
          <cell r="I17">
            <v>61</v>
          </cell>
          <cell r="J17">
            <v>93</v>
          </cell>
          <cell r="K17">
            <v>123.90742857142851</v>
          </cell>
          <cell r="L17">
            <v>170.00600000000003</v>
          </cell>
        </row>
        <row r="18">
          <cell r="B18" t="str">
            <v>Bapatla</v>
          </cell>
          <cell r="C18">
            <v>63</v>
          </cell>
          <cell r="D18">
            <v>1</v>
          </cell>
          <cell r="E18">
            <v>20</v>
          </cell>
          <cell r="F18">
            <v>0</v>
          </cell>
          <cell r="G18">
            <v>7</v>
          </cell>
          <cell r="H18">
            <v>2</v>
          </cell>
          <cell r="I18">
            <v>40</v>
          </cell>
          <cell r="J18">
            <v>58</v>
          </cell>
          <cell r="K18">
            <v>57.753714285714288</v>
          </cell>
          <cell r="L18">
            <v>84.715428571428546</v>
          </cell>
        </row>
        <row r="19">
          <cell r="B19" t="str">
            <v>Palnadu</v>
          </cell>
          <cell r="C19">
            <v>95</v>
          </cell>
          <cell r="D19">
            <v>6</v>
          </cell>
          <cell r="E19">
            <v>45.999999999999993</v>
          </cell>
          <cell r="F19">
            <v>7</v>
          </cell>
          <cell r="G19">
            <v>13</v>
          </cell>
          <cell r="H19">
            <v>2</v>
          </cell>
          <cell r="I19">
            <v>63</v>
          </cell>
          <cell r="J19">
            <v>122</v>
          </cell>
          <cell r="K19">
            <v>100.96399999999998</v>
          </cell>
          <cell r="L19">
            <v>194.92828571428575</v>
          </cell>
        </row>
        <row r="20">
          <cell r="B20" t="str">
            <v>NANDYAL</v>
          </cell>
          <cell r="C20">
            <v>62</v>
          </cell>
          <cell r="D20">
            <v>4</v>
          </cell>
          <cell r="E20">
            <v>30</v>
          </cell>
          <cell r="F20">
            <v>0</v>
          </cell>
          <cell r="G20">
            <v>9</v>
          </cell>
          <cell r="H20">
            <v>0</v>
          </cell>
          <cell r="I20">
            <v>27</v>
          </cell>
          <cell r="J20">
            <v>116</v>
          </cell>
          <cell r="K20">
            <v>76.085714285714275</v>
          </cell>
          <cell r="L20">
            <v>118.76342857142856</v>
          </cell>
        </row>
        <row r="21">
          <cell r="B21" t="str">
            <v>kurnool</v>
          </cell>
          <cell r="C21">
            <v>63</v>
          </cell>
          <cell r="D21">
            <v>2</v>
          </cell>
          <cell r="E21">
            <v>26</v>
          </cell>
          <cell r="F21">
            <v>4</v>
          </cell>
          <cell r="G21">
            <v>14</v>
          </cell>
          <cell r="H21">
            <v>0</v>
          </cell>
          <cell r="I21">
            <v>78</v>
          </cell>
          <cell r="J21">
            <v>144</v>
          </cell>
          <cell r="K21">
            <v>116.64414285714287</v>
          </cell>
          <cell r="L21">
            <v>102.20357142857145</v>
          </cell>
        </row>
        <row r="22">
          <cell r="B22" t="str">
            <v>YSR Kadapa</v>
          </cell>
          <cell r="C22">
            <v>85</v>
          </cell>
          <cell r="D22">
            <v>3</v>
          </cell>
          <cell r="E22">
            <v>37</v>
          </cell>
          <cell r="F22">
            <v>7</v>
          </cell>
          <cell r="G22">
            <v>5</v>
          </cell>
          <cell r="H22">
            <v>0</v>
          </cell>
          <cell r="I22">
            <v>14</v>
          </cell>
          <cell r="J22">
            <v>44</v>
          </cell>
          <cell r="K22">
            <v>114.15300000000003</v>
          </cell>
          <cell r="L22">
            <v>206.13185714285711</v>
          </cell>
        </row>
        <row r="23">
          <cell r="B23" t="str">
            <v>ANANTAPUR</v>
          </cell>
          <cell r="C23">
            <v>110</v>
          </cell>
          <cell r="D23">
            <v>2</v>
          </cell>
          <cell r="E23">
            <v>49</v>
          </cell>
          <cell r="F23">
            <v>5</v>
          </cell>
          <cell r="G23">
            <v>19</v>
          </cell>
          <cell r="H23">
            <v>0</v>
          </cell>
          <cell r="I23">
            <v>92</v>
          </cell>
          <cell r="J23">
            <v>200</v>
          </cell>
          <cell r="K23">
            <v>123.03828571428573</v>
          </cell>
          <cell r="L23">
            <v>180.55442857142859</v>
          </cell>
        </row>
        <row r="24">
          <cell r="B24" t="str">
            <v>SPS NELLORE</v>
          </cell>
          <cell r="C24">
            <v>100</v>
          </cell>
          <cell r="D24">
            <v>4</v>
          </cell>
          <cell r="E24">
            <v>52.000000000000014</v>
          </cell>
          <cell r="F24">
            <v>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88.578857142857146</v>
          </cell>
          <cell r="L24">
            <v>232.71185714285713</v>
          </cell>
        </row>
        <row r="25">
          <cell r="B25" t="str">
            <v>TIRUPATHI</v>
          </cell>
          <cell r="C25">
            <v>91</v>
          </cell>
          <cell r="D25">
            <v>1</v>
          </cell>
          <cell r="E25">
            <v>57.000000000000007</v>
          </cell>
          <cell r="F25">
            <v>2</v>
          </cell>
          <cell r="G25">
            <v>33</v>
          </cell>
          <cell r="H25">
            <v>0</v>
          </cell>
          <cell r="I25">
            <v>216</v>
          </cell>
          <cell r="J25">
            <v>322</v>
          </cell>
          <cell r="K25">
            <v>145.86357142857139</v>
          </cell>
          <cell r="L25">
            <v>215.17971428571434</v>
          </cell>
        </row>
        <row r="26">
          <cell r="B26" t="str">
            <v>Markapuram</v>
          </cell>
          <cell r="D26">
            <v>0</v>
          </cell>
        </row>
        <row r="27">
          <cell r="B27" t="str">
            <v>PRAKASAM</v>
          </cell>
          <cell r="C27">
            <v>100</v>
          </cell>
          <cell r="D27">
            <v>3</v>
          </cell>
          <cell r="E27">
            <v>54.000000000000007</v>
          </cell>
          <cell r="F27">
            <v>1</v>
          </cell>
          <cell r="G27">
            <v>35</v>
          </cell>
          <cell r="H27">
            <v>6</v>
          </cell>
          <cell r="I27">
            <v>161</v>
          </cell>
          <cell r="J27">
            <v>358</v>
          </cell>
          <cell r="K27">
            <v>88.165428571428521</v>
          </cell>
          <cell r="L27">
            <v>156.43785714285713</v>
          </cell>
        </row>
        <row r="28">
          <cell r="B28" t="str">
            <v>CHITTOOR</v>
          </cell>
          <cell r="C28">
            <v>74</v>
          </cell>
          <cell r="D28">
            <v>1</v>
          </cell>
          <cell r="E28">
            <v>26</v>
          </cell>
          <cell r="F28">
            <v>2</v>
          </cell>
          <cell r="G28">
            <v>16</v>
          </cell>
          <cell r="H28">
            <v>0</v>
          </cell>
          <cell r="I28">
            <v>99</v>
          </cell>
          <cell r="J28">
            <v>117</v>
          </cell>
          <cell r="K28">
            <v>76.981142857142856</v>
          </cell>
          <cell r="L28">
            <v>82.659142857142868</v>
          </cell>
        </row>
        <row r="29">
          <cell r="B29" t="str">
            <v>ANNAMAYYA</v>
          </cell>
          <cell r="C29">
            <v>53</v>
          </cell>
          <cell r="D29">
            <v>0</v>
          </cell>
          <cell r="E29">
            <v>31</v>
          </cell>
          <cell r="F29">
            <v>0</v>
          </cell>
          <cell r="G29">
            <v>18</v>
          </cell>
          <cell r="H29">
            <v>0</v>
          </cell>
          <cell r="I29">
            <v>118</v>
          </cell>
          <cell r="J29">
            <v>153</v>
          </cell>
          <cell r="K29">
            <v>75.511285714285691</v>
          </cell>
          <cell r="L29">
            <v>108.32985714285715</v>
          </cell>
        </row>
        <row r="30">
          <cell r="B30" t="str">
            <v>SRI SATYA SAI</v>
          </cell>
          <cell r="C30">
            <v>71</v>
          </cell>
          <cell r="D30">
            <v>0</v>
          </cell>
          <cell r="E30">
            <v>26</v>
          </cell>
          <cell r="F30">
            <v>2</v>
          </cell>
          <cell r="G30">
            <v>9</v>
          </cell>
          <cell r="H30">
            <v>0</v>
          </cell>
          <cell r="I30">
            <v>50</v>
          </cell>
          <cell r="J30">
            <v>70</v>
          </cell>
          <cell r="K30">
            <v>60.008285714285726</v>
          </cell>
          <cell r="L30">
            <v>74.702571428571446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Sheet"/>
      <sheetName val="List of Dry outs"/>
    </sheetNames>
    <sheetDataSet>
      <sheetData sheetId="0">
        <row r="1">
          <cell r="D1" t="str">
            <v>Total Outlets Count</v>
          </cell>
          <cell r="E1" t="str">
            <v>No of Outlets Dry out</v>
          </cell>
          <cell r="F1" t="str">
            <v>Total Indents Raised</v>
          </cell>
          <cell r="G1" t="str">
            <v>No of Loads Planned</v>
          </cell>
          <cell r="H1" t="str">
            <v>No of Loads Executed</v>
          </cell>
          <cell r="I1" t="str">
            <v>No of Loads Delivered</v>
          </cell>
          <cell r="J1" t="str">
            <v>Quantity Despatched</v>
          </cell>
          <cell r="L1" t="str">
            <v>Nozles Sales</v>
          </cell>
        </row>
        <row r="2">
          <cell r="J2" t="str">
            <v>MS
(in KL)</v>
          </cell>
          <cell r="K2" t="str">
            <v>HSD
(in KL)</v>
          </cell>
          <cell r="L2" t="str">
            <v>MS
(in KL)</v>
          </cell>
          <cell r="M2" t="str">
            <v>HSD
(in KL)</v>
          </cell>
        </row>
        <row r="3">
          <cell r="C3" t="str">
            <v>Srikakulam</v>
          </cell>
          <cell r="D3">
            <v>37</v>
          </cell>
          <cell r="E3">
            <v>3</v>
          </cell>
          <cell r="F3">
            <v>15</v>
          </cell>
          <cell r="G3">
            <v>15</v>
          </cell>
          <cell r="H3">
            <v>5</v>
          </cell>
          <cell r="I3">
            <v>0</v>
          </cell>
          <cell r="J3">
            <v>26</v>
          </cell>
          <cell r="K3">
            <v>38</v>
          </cell>
          <cell r="L3">
            <v>24</v>
          </cell>
          <cell r="M3">
            <v>35</v>
          </cell>
        </row>
        <row r="4">
          <cell r="C4" t="str">
            <v>Vizianagaram</v>
          </cell>
          <cell r="D4">
            <v>38</v>
          </cell>
          <cell r="E4">
            <v>1</v>
          </cell>
          <cell r="F4">
            <v>25</v>
          </cell>
          <cell r="G4">
            <v>25</v>
          </cell>
          <cell r="H4">
            <v>8</v>
          </cell>
          <cell r="I4">
            <v>0</v>
          </cell>
          <cell r="J4">
            <v>42</v>
          </cell>
          <cell r="K4">
            <v>82</v>
          </cell>
          <cell r="L4">
            <v>43</v>
          </cell>
          <cell r="M4">
            <v>56</v>
          </cell>
        </row>
        <row r="5">
          <cell r="C5" t="str">
            <v>PARVATHIPURAM MANYAM</v>
          </cell>
          <cell r="D5">
            <v>22</v>
          </cell>
          <cell r="E5">
            <v>1</v>
          </cell>
          <cell r="F5">
            <v>8</v>
          </cell>
          <cell r="G5">
            <v>8</v>
          </cell>
          <cell r="H5">
            <v>5</v>
          </cell>
          <cell r="I5">
            <v>0</v>
          </cell>
          <cell r="J5">
            <v>22</v>
          </cell>
          <cell r="K5">
            <v>50</v>
          </cell>
          <cell r="L5">
            <v>11</v>
          </cell>
          <cell r="M5">
            <v>18</v>
          </cell>
        </row>
        <row r="6">
          <cell r="C6" t="str">
            <v>Visakhapatnam</v>
          </cell>
          <cell r="D6">
            <v>42</v>
          </cell>
          <cell r="E6">
            <v>0</v>
          </cell>
          <cell r="F6">
            <v>30</v>
          </cell>
          <cell r="G6">
            <v>30</v>
          </cell>
          <cell r="H6">
            <v>17</v>
          </cell>
          <cell r="I6">
            <v>1</v>
          </cell>
          <cell r="J6">
            <v>165</v>
          </cell>
          <cell r="K6">
            <v>172</v>
          </cell>
          <cell r="L6">
            <v>107</v>
          </cell>
          <cell r="M6">
            <v>117</v>
          </cell>
        </row>
        <row r="7">
          <cell r="C7" t="str">
            <v>Anakapalli</v>
          </cell>
          <cell r="D7">
            <v>68</v>
          </cell>
          <cell r="E7">
            <v>3</v>
          </cell>
          <cell r="F7">
            <v>35</v>
          </cell>
          <cell r="G7">
            <v>35</v>
          </cell>
          <cell r="H7">
            <v>14</v>
          </cell>
          <cell r="I7">
            <v>0</v>
          </cell>
          <cell r="J7">
            <v>68</v>
          </cell>
          <cell r="K7">
            <v>156</v>
          </cell>
          <cell r="L7">
            <v>35</v>
          </cell>
          <cell r="M7">
            <v>101</v>
          </cell>
        </row>
        <row r="8">
          <cell r="C8" t="str">
            <v>Polavaram</v>
          </cell>
          <cell r="E8">
            <v>0</v>
          </cell>
        </row>
        <row r="9">
          <cell r="C9" t="str">
            <v>East Godavari</v>
          </cell>
          <cell r="D9">
            <v>64</v>
          </cell>
          <cell r="E9">
            <v>6</v>
          </cell>
          <cell r="F9">
            <v>35</v>
          </cell>
          <cell r="G9">
            <v>35</v>
          </cell>
          <cell r="H9">
            <v>15</v>
          </cell>
          <cell r="I9">
            <v>6</v>
          </cell>
          <cell r="J9">
            <v>86</v>
          </cell>
          <cell r="K9">
            <v>130</v>
          </cell>
          <cell r="L9">
            <v>24</v>
          </cell>
          <cell r="M9">
            <v>40</v>
          </cell>
        </row>
        <row r="10">
          <cell r="C10" t="str">
            <v>Kakinada</v>
          </cell>
          <cell r="D10">
            <v>72</v>
          </cell>
          <cell r="E10">
            <v>6</v>
          </cell>
          <cell r="F10">
            <v>35</v>
          </cell>
          <cell r="G10">
            <v>35</v>
          </cell>
          <cell r="H10">
            <v>12</v>
          </cell>
          <cell r="I10">
            <v>4</v>
          </cell>
          <cell r="J10">
            <v>71</v>
          </cell>
          <cell r="K10">
            <v>115</v>
          </cell>
          <cell r="L10">
            <v>28</v>
          </cell>
          <cell r="M10">
            <v>67</v>
          </cell>
        </row>
        <row r="11">
          <cell r="C11" t="str">
            <v>ALLURI SEETHARAMA RAJU</v>
          </cell>
          <cell r="D11">
            <v>20</v>
          </cell>
          <cell r="E11">
            <v>1</v>
          </cell>
          <cell r="F11">
            <v>6</v>
          </cell>
          <cell r="G11">
            <v>6</v>
          </cell>
          <cell r="H11">
            <v>5</v>
          </cell>
          <cell r="I11">
            <v>0</v>
          </cell>
          <cell r="J11">
            <v>32</v>
          </cell>
          <cell r="K11">
            <v>38</v>
          </cell>
          <cell r="L11">
            <v>12</v>
          </cell>
          <cell r="M11">
            <v>37</v>
          </cell>
        </row>
        <row r="12">
          <cell r="C12" t="str">
            <v>Dr Ambedkar Konaseema</v>
          </cell>
          <cell r="D12">
            <v>38</v>
          </cell>
          <cell r="E12">
            <v>5</v>
          </cell>
          <cell r="F12">
            <v>19</v>
          </cell>
          <cell r="G12">
            <v>19</v>
          </cell>
          <cell r="H12">
            <v>10</v>
          </cell>
          <cell r="I12">
            <v>4</v>
          </cell>
          <cell r="J12">
            <v>72</v>
          </cell>
          <cell r="K12">
            <v>98</v>
          </cell>
          <cell r="L12">
            <v>22</v>
          </cell>
          <cell r="M12">
            <v>37</v>
          </cell>
        </row>
        <row r="13">
          <cell r="C13" t="str">
            <v>West Godavari</v>
          </cell>
          <cell r="D13">
            <v>41</v>
          </cell>
          <cell r="E13">
            <v>3</v>
          </cell>
          <cell r="F13">
            <v>33</v>
          </cell>
          <cell r="G13">
            <v>30</v>
          </cell>
          <cell r="H13">
            <v>7</v>
          </cell>
          <cell r="I13">
            <v>7</v>
          </cell>
          <cell r="J13">
            <v>44</v>
          </cell>
          <cell r="K13">
            <v>60</v>
          </cell>
          <cell r="L13">
            <v>9</v>
          </cell>
          <cell r="M13">
            <v>46</v>
          </cell>
        </row>
        <row r="14">
          <cell r="C14" t="str">
            <v>Eluru</v>
          </cell>
          <cell r="D14">
            <v>69</v>
          </cell>
          <cell r="E14">
            <v>4</v>
          </cell>
          <cell r="F14">
            <v>51</v>
          </cell>
          <cell r="G14">
            <v>49</v>
          </cell>
          <cell r="H14">
            <v>13</v>
          </cell>
          <cell r="I14">
            <v>9</v>
          </cell>
          <cell r="J14">
            <v>81</v>
          </cell>
          <cell r="K14">
            <v>120</v>
          </cell>
          <cell r="L14">
            <v>8</v>
          </cell>
          <cell r="M14">
            <v>43</v>
          </cell>
        </row>
        <row r="15">
          <cell r="C15" t="str">
            <v>Guntur</v>
          </cell>
          <cell r="D15">
            <v>62</v>
          </cell>
          <cell r="E15">
            <v>10</v>
          </cell>
          <cell r="F15">
            <v>54</v>
          </cell>
          <cell r="G15">
            <v>46</v>
          </cell>
          <cell r="H15">
            <v>16</v>
          </cell>
          <cell r="I15">
            <v>13</v>
          </cell>
          <cell r="J15">
            <v>108</v>
          </cell>
          <cell r="K15">
            <v>170</v>
          </cell>
          <cell r="L15">
            <v>23</v>
          </cell>
          <cell r="M15">
            <v>47</v>
          </cell>
        </row>
        <row r="16">
          <cell r="C16" t="str">
            <v>NTR</v>
          </cell>
          <cell r="D16">
            <v>81</v>
          </cell>
          <cell r="E16">
            <v>9</v>
          </cell>
          <cell r="F16">
            <v>57</v>
          </cell>
          <cell r="G16">
            <v>55</v>
          </cell>
          <cell r="H16">
            <v>9</v>
          </cell>
          <cell r="I16">
            <v>6</v>
          </cell>
          <cell r="J16">
            <v>67</v>
          </cell>
          <cell r="K16">
            <v>87</v>
          </cell>
          <cell r="L16">
            <v>15</v>
          </cell>
          <cell r="M16">
            <v>36</v>
          </cell>
        </row>
        <row r="17">
          <cell r="C17" t="str">
            <v>krishna</v>
          </cell>
          <cell r="D17">
            <v>47</v>
          </cell>
          <cell r="E17">
            <v>6</v>
          </cell>
          <cell r="F17">
            <v>33</v>
          </cell>
          <cell r="G17">
            <v>19</v>
          </cell>
          <cell r="H17">
            <v>19</v>
          </cell>
          <cell r="I17">
            <v>19</v>
          </cell>
          <cell r="J17">
            <v>109</v>
          </cell>
          <cell r="K17">
            <v>165</v>
          </cell>
          <cell r="L17">
            <v>9</v>
          </cell>
          <cell r="M17">
            <v>38</v>
          </cell>
        </row>
        <row r="18">
          <cell r="C18" t="str">
            <v>Bapatla</v>
          </cell>
          <cell r="D18">
            <v>39</v>
          </cell>
          <cell r="E18">
            <v>7</v>
          </cell>
          <cell r="F18">
            <v>29</v>
          </cell>
          <cell r="G18">
            <v>29</v>
          </cell>
          <cell r="H18">
            <v>14</v>
          </cell>
          <cell r="I18">
            <v>7</v>
          </cell>
          <cell r="J18">
            <v>90</v>
          </cell>
          <cell r="K18">
            <v>136</v>
          </cell>
          <cell r="L18">
            <v>18</v>
          </cell>
          <cell r="M18">
            <v>20</v>
          </cell>
        </row>
        <row r="19">
          <cell r="C19" t="str">
            <v>Palnadu</v>
          </cell>
          <cell r="D19">
            <v>52</v>
          </cell>
          <cell r="E19">
            <v>4</v>
          </cell>
          <cell r="F19">
            <v>58</v>
          </cell>
          <cell r="G19">
            <v>46</v>
          </cell>
          <cell r="H19">
            <v>12</v>
          </cell>
          <cell r="I19">
            <v>10</v>
          </cell>
          <cell r="J19">
            <v>67</v>
          </cell>
          <cell r="K19">
            <v>85</v>
          </cell>
          <cell r="L19">
            <v>6</v>
          </cell>
          <cell r="M19">
            <v>38</v>
          </cell>
        </row>
        <row r="20">
          <cell r="C20" t="str">
            <v>Nandyal</v>
          </cell>
          <cell r="D20">
            <v>81</v>
          </cell>
          <cell r="E20">
            <v>17</v>
          </cell>
          <cell r="F20">
            <v>60</v>
          </cell>
          <cell r="G20">
            <v>34</v>
          </cell>
          <cell r="H20">
            <v>17</v>
          </cell>
          <cell r="I20">
            <v>0</v>
          </cell>
          <cell r="J20">
            <v>74</v>
          </cell>
          <cell r="K20">
            <v>184</v>
          </cell>
          <cell r="L20">
            <v>15.186729999999997</v>
          </cell>
          <cell r="M20">
            <v>28.52739</v>
          </cell>
        </row>
        <row r="21">
          <cell r="C21" t="str">
            <v>kurnool</v>
          </cell>
          <cell r="D21">
            <v>62</v>
          </cell>
          <cell r="E21">
            <v>4</v>
          </cell>
          <cell r="F21">
            <v>35</v>
          </cell>
          <cell r="G21">
            <v>34</v>
          </cell>
          <cell r="H21">
            <v>9</v>
          </cell>
          <cell r="I21">
            <v>0</v>
          </cell>
          <cell r="J21">
            <v>55</v>
          </cell>
          <cell r="K21">
            <v>93</v>
          </cell>
          <cell r="L21">
            <v>30.512090000000001</v>
          </cell>
          <cell r="M21">
            <v>73.483280000000022</v>
          </cell>
        </row>
        <row r="22">
          <cell r="C22" t="str">
            <v>YSR Kadapa</v>
          </cell>
          <cell r="D22">
            <v>85</v>
          </cell>
          <cell r="E22">
            <v>4</v>
          </cell>
          <cell r="F22">
            <v>51</v>
          </cell>
          <cell r="G22">
            <v>28</v>
          </cell>
          <cell r="H22">
            <v>18</v>
          </cell>
          <cell r="I22">
            <v>0</v>
          </cell>
          <cell r="J22">
            <v>94</v>
          </cell>
          <cell r="K22">
            <v>170</v>
          </cell>
          <cell r="L22">
            <v>21.086890000000007</v>
          </cell>
          <cell r="M22">
            <v>47.129539999999992</v>
          </cell>
        </row>
        <row r="23">
          <cell r="C23" t="str">
            <v>ANANTAPUR</v>
          </cell>
          <cell r="D23">
            <v>65</v>
          </cell>
          <cell r="E23">
            <v>12</v>
          </cell>
          <cell r="F23">
            <v>39</v>
          </cell>
          <cell r="G23">
            <v>26</v>
          </cell>
          <cell r="H23">
            <v>10</v>
          </cell>
          <cell r="I23">
            <v>0</v>
          </cell>
          <cell r="J23">
            <v>70</v>
          </cell>
          <cell r="K23">
            <v>87</v>
          </cell>
          <cell r="L23">
            <v>18.131819999999994</v>
          </cell>
          <cell r="M23">
            <v>27.773910000000001</v>
          </cell>
        </row>
        <row r="24">
          <cell r="C24" t="str">
            <v>SPS Nellore</v>
          </cell>
          <cell r="D24">
            <v>86</v>
          </cell>
          <cell r="E24">
            <v>4</v>
          </cell>
          <cell r="F24">
            <v>58</v>
          </cell>
          <cell r="G24">
            <v>58</v>
          </cell>
          <cell r="H24">
            <v>22</v>
          </cell>
          <cell r="I24">
            <v>5</v>
          </cell>
          <cell r="J24">
            <v>141</v>
          </cell>
          <cell r="K24">
            <v>229</v>
          </cell>
          <cell r="L24">
            <v>50</v>
          </cell>
          <cell r="M24">
            <v>60</v>
          </cell>
        </row>
        <row r="25">
          <cell r="C25" t="str">
            <v>Tirupathi</v>
          </cell>
          <cell r="D25">
            <v>58</v>
          </cell>
          <cell r="E25">
            <v>2</v>
          </cell>
          <cell r="F25">
            <v>48</v>
          </cell>
          <cell r="G25">
            <v>48</v>
          </cell>
          <cell r="H25">
            <v>4</v>
          </cell>
          <cell r="I25">
            <v>0</v>
          </cell>
          <cell r="J25">
            <v>19</v>
          </cell>
          <cell r="K25">
            <v>53</v>
          </cell>
          <cell r="L25">
            <v>20</v>
          </cell>
          <cell r="M25">
            <v>35</v>
          </cell>
        </row>
        <row r="26">
          <cell r="C26" t="str">
            <v>Markapuram</v>
          </cell>
          <cell r="D26">
            <v>35</v>
          </cell>
          <cell r="E26">
            <v>3</v>
          </cell>
          <cell r="F26">
            <v>18</v>
          </cell>
          <cell r="G26">
            <v>18</v>
          </cell>
          <cell r="H26">
            <v>5</v>
          </cell>
          <cell r="I26">
            <v>1</v>
          </cell>
          <cell r="J26">
            <v>37</v>
          </cell>
          <cell r="K26">
            <v>41</v>
          </cell>
          <cell r="L26">
            <v>15</v>
          </cell>
          <cell r="M26">
            <v>25</v>
          </cell>
        </row>
        <row r="27">
          <cell r="C27" t="str">
            <v>PRAKASAM</v>
          </cell>
          <cell r="D27">
            <v>82</v>
          </cell>
          <cell r="E27">
            <v>9</v>
          </cell>
          <cell r="F27">
            <v>47</v>
          </cell>
          <cell r="G27">
            <v>47</v>
          </cell>
          <cell r="H27">
            <v>11</v>
          </cell>
          <cell r="I27">
            <v>3</v>
          </cell>
          <cell r="J27">
            <v>64</v>
          </cell>
          <cell r="K27">
            <v>104</v>
          </cell>
          <cell r="L27">
            <v>26</v>
          </cell>
          <cell r="M27">
            <v>35</v>
          </cell>
        </row>
        <row r="28">
          <cell r="C28" t="str">
            <v>CHITTOOR</v>
          </cell>
          <cell r="D28">
            <v>54</v>
          </cell>
          <cell r="E28">
            <v>1</v>
          </cell>
          <cell r="F28">
            <v>20</v>
          </cell>
          <cell r="G28">
            <v>20</v>
          </cell>
          <cell r="H28">
            <v>17</v>
          </cell>
          <cell r="I28">
            <v>1</v>
          </cell>
          <cell r="J28">
            <v>8</v>
          </cell>
          <cell r="K28">
            <v>6</v>
          </cell>
          <cell r="L28">
            <v>13</v>
          </cell>
          <cell r="M28">
            <v>17</v>
          </cell>
        </row>
        <row r="29">
          <cell r="C29" t="str">
            <v>Annamayya</v>
          </cell>
          <cell r="D29">
            <v>39</v>
          </cell>
          <cell r="E29">
            <v>0</v>
          </cell>
          <cell r="F29">
            <v>25</v>
          </cell>
          <cell r="G29">
            <v>19</v>
          </cell>
          <cell r="H29">
            <v>6</v>
          </cell>
          <cell r="I29">
            <v>0</v>
          </cell>
          <cell r="J29">
            <v>39</v>
          </cell>
          <cell r="K29">
            <v>51</v>
          </cell>
          <cell r="L29">
            <v>7.4279199999999994</v>
          </cell>
          <cell r="M29">
            <v>14.772959999999999</v>
          </cell>
        </row>
        <row r="30">
          <cell r="C30" t="str">
            <v>Sri Satya Sai</v>
          </cell>
          <cell r="D30">
            <v>33</v>
          </cell>
          <cell r="E30">
            <v>1</v>
          </cell>
          <cell r="F30">
            <v>16</v>
          </cell>
          <cell r="G30">
            <v>13</v>
          </cell>
          <cell r="H30">
            <v>5</v>
          </cell>
          <cell r="I30">
            <v>0</v>
          </cell>
          <cell r="J30">
            <v>38</v>
          </cell>
          <cell r="K30">
            <v>42</v>
          </cell>
          <cell r="L30">
            <v>8.4347299999999983</v>
          </cell>
          <cell r="M30">
            <v>12.576980000000001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MC wise Summery"/>
    </sheetNames>
    <sheetDataSet>
      <sheetData sheetId="0">
        <row r="1">
          <cell r="C1" t="str">
            <v>Total Outlets Count</v>
          </cell>
          <cell r="D1" t="str">
            <v>No of Outlets Dry out reported by OMCs</v>
          </cell>
          <cell r="E1" t="str">
            <v>Total Indents Raised</v>
          </cell>
          <cell r="F1" t="str">
            <v>Total Loads Planned</v>
          </cell>
          <cell r="G1" t="str">
            <v>No. of Loads Dispatched</v>
          </cell>
          <cell r="H1" t="str">
            <v xml:space="preserve">No. of Loads Delivered </v>
          </cell>
          <cell r="I1" t="str">
            <v>Quantity Dispatched</v>
          </cell>
          <cell r="K1" t="str">
            <v>Nozzle Sales</v>
          </cell>
          <cell r="M1" t="str">
            <v>Total Outlets Count</v>
          </cell>
          <cell r="N1" t="str">
            <v>No of Outlets Dry out reported by OMCs</v>
          </cell>
          <cell r="O1" t="str">
            <v>Total Indents Raised</v>
          </cell>
          <cell r="P1" t="str">
            <v>Total Loads Planned</v>
          </cell>
          <cell r="Q1" t="str">
            <v>No. of Loads Dispatched</v>
          </cell>
          <cell r="R1" t="str">
            <v xml:space="preserve">No. of Loads Delivered </v>
          </cell>
          <cell r="S1" t="str">
            <v>Quantity Dispatched</v>
          </cell>
          <cell r="U1" t="str">
            <v>Nozzle Sales</v>
          </cell>
          <cell r="W1" t="str">
            <v>Total Outlets Count</v>
          </cell>
          <cell r="X1" t="str">
            <v>No of Outlets Dry out reported by OMCs</v>
          </cell>
          <cell r="Y1" t="str">
            <v>Total Indents Raised</v>
          </cell>
          <cell r="Z1" t="str">
            <v>Total Loads Planned</v>
          </cell>
          <cell r="AA1" t="str">
            <v>No. of Loads Dispatched</v>
          </cell>
          <cell r="AB1" t="str">
            <v xml:space="preserve">No. of Loads Delivered </v>
          </cell>
          <cell r="AC1" t="str">
            <v>Quantity Dispatched</v>
          </cell>
          <cell r="AE1" t="str">
            <v>Nozzle Sales</v>
          </cell>
        </row>
        <row r="2">
          <cell r="I2" t="str">
            <v>MS
(in KL)</v>
          </cell>
          <cell r="J2" t="str">
            <v>HSD
(in KL)</v>
          </cell>
          <cell r="K2" t="str">
            <v>MS
(in KL)</v>
          </cell>
          <cell r="L2" t="str">
            <v>HSD
(in KL)</v>
          </cell>
          <cell r="S2" t="str">
            <v>MS
(in KL)</v>
          </cell>
          <cell r="T2" t="str">
            <v>HSD
(in KL)</v>
          </cell>
          <cell r="U2" t="str">
            <v>MS
(in KL)</v>
          </cell>
          <cell r="V2" t="str">
            <v>HSD
(in KL)</v>
          </cell>
          <cell r="AC2" t="str">
            <v>MS
(in KL)</v>
          </cell>
          <cell r="AD2" t="str">
            <v>HSD
(in KL)</v>
          </cell>
          <cell r="AE2" t="str">
            <v>MS
(in KL)</v>
          </cell>
          <cell r="AF2" t="str">
            <v>HSD
(in KL)</v>
          </cell>
        </row>
        <row r="3">
          <cell r="B3" t="str">
            <v>Srikakulam</v>
          </cell>
          <cell r="W3">
            <v>42</v>
          </cell>
          <cell r="X3">
            <v>1</v>
          </cell>
          <cell r="Y3">
            <v>53</v>
          </cell>
          <cell r="Z3">
            <v>42.400000000000006</v>
          </cell>
          <cell r="AA3">
            <v>12</v>
          </cell>
          <cell r="AB3">
            <v>10</v>
          </cell>
          <cell r="AC3">
            <v>75</v>
          </cell>
          <cell r="AD3">
            <v>81</v>
          </cell>
          <cell r="AE3">
            <v>36.308999999999997</v>
          </cell>
          <cell r="AF3">
            <v>53.995999999999988</v>
          </cell>
        </row>
        <row r="4">
          <cell r="B4" t="str">
            <v>Vizianagaram</v>
          </cell>
          <cell r="W4">
            <v>34</v>
          </cell>
          <cell r="X4">
            <v>4</v>
          </cell>
          <cell r="Y4">
            <v>25</v>
          </cell>
          <cell r="Z4">
            <v>20</v>
          </cell>
          <cell r="AA4">
            <v>4</v>
          </cell>
          <cell r="AB4">
            <v>3</v>
          </cell>
          <cell r="AC4">
            <v>22</v>
          </cell>
          <cell r="AD4">
            <v>30</v>
          </cell>
          <cell r="AE4">
            <v>30.743999999999993</v>
          </cell>
          <cell r="AF4">
            <v>41.626999999999995</v>
          </cell>
        </row>
        <row r="5">
          <cell r="B5" t="str">
            <v>PARVATHIPURAM MANYAM</v>
          </cell>
          <cell r="W5">
            <v>11</v>
          </cell>
          <cell r="X5">
            <v>2</v>
          </cell>
          <cell r="Y5">
            <v>3</v>
          </cell>
          <cell r="Z5">
            <v>2.4000000000000004</v>
          </cell>
          <cell r="AA5">
            <v>2</v>
          </cell>
          <cell r="AB5">
            <v>2</v>
          </cell>
          <cell r="AC5">
            <v>15</v>
          </cell>
          <cell r="AD5">
            <v>10</v>
          </cell>
          <cell r="AE5">
            <v>4.5839999999999996</v>
          </cell>
          <cell r="AF5">
            <v>2.371</v>
          </cell>
        </row>
        <row r="6">
          <cell r="B6" t="str">
            <v>VISAKHAPATNAM</v>
          </cell>
          <cell r="W6">
            <v>41</v>
          </cell>
          <cell r="X6">
            <v>0</v>
          </cell>
          <cell r="Y6">
            <v>30</v>
          </cell>
          <cell r="Z6">
            <v>24</v>
          </cell>
          <cell r="AA6">
            <v>9</v>
          </cell>
          <cell r="AB6">
            <v>7</v>
          </cell>
          <cell r="AC6">
            <v>55</v>
          </cell>
          <cell r="AD6">
            <v>61</v>
          </cell>
          <cell r="AE6">
            <v>60.686</v>
          </cell>
          <cell r="AF6">
            <v>74.36</v>
          </cell>
        </row>
        <row r="7">
          <cell r="B7" t="str">
            <v>Anakapalli</v>
          </cell>
          <cell r="W7">
            <v>47</v>
          </cell>
          <cell r="X7">
            <v>2</v>
          </cell>
          <cell r="Y7">
            <v>46</v>
          </cell>
          <cell r="Z7">
            <v>36.800000000000004</v>
          </cell>
          <cell r="AA7">
            <v>16</v>
          </cell>
          <cell r="AB7">
            <v>8</v>
          </cell>
          <cell r="AC7">
            <v>51</v>
          </cell>
          <cell r="AD7">
            <v>170</v>
          </cell>
          <cell r="AE7">
            <v>16.898000000000003</v>
          </cell>
          <cell r="AF7">
            <v>68.104000000000013</v>
          </cell>
        </row>
        <row r="8">
          <cell r="B8" t="str">
            <v>Polavaram</v>
          </cell>
          <cell r="W8">
            <v>3</v>
          </cell>
          <cell r="X8">
            <v>3</v>
          </cell>
          <cell r="Y8">
            <v>1</v>
          </cell>
          <cell r="Z8">
            <v>0.8</v>
          </cell>
          <cell r="AA8">
            <v>1</v>
          </cell>
          <cell r="AB8">
            <v>0</v>
          </cell>
          <cell r="AC8">
            <v>3</v>
          </cell>
          <cell r="AD8">
            <v>8</v>
          </cell>
          <cell r="AE8">
            <v>4.2</v>
          </cell>
          <cell r="AF8">
            <v>3.1</v>
          </cell>
        </row>
        <row r="9">
          <cell r="B9" t="str">
            <v>East Godavari</v>
          </cell>
          <cell r="W9">
            <v>48</v>
          </cell>
          <cell r="X9">
            <v>1</v>
          </cell>
          <cell r="Y9">
            <v>33</v>
          </cell>
          <cell r="Z9">
            <v>26.400000000000002</v>
          </cell>
          <cell r="AA9">
            <v>10</v>
          </cell>
          <cell r="AB9">
            <v>0</v>
          </cell>
          <cell r="AC9">
            <v>31</v>
          </cell>
          <cell r="AD9">
            <v>97</v>
          </cell>
          <cell r="AE9">
            <v>13.350000000000001</v>
          </cell>
          <cell r="AF9">
            <v>67.534999999999997</v>
          </cell>
        </row>
        <row r="10">
          <cell r="B10" t="str">
            <v>Kakinada</v>
          </cell>
          <cell r="W10">
            <v>42</v>
          </cell>
          <cell r="X10">
            <v>6</v>
          </cell>
          <cell r="Y10">
            <v>32</v>
          </cell>
          <cell r="Z10">
            <v>25.6</v>
          </cell>
          <cell r="AA10">
            <v>13</v>
          </cell>
          <cell r="AB10">
            <v>7</v>
          </cell>
          <cell r="AC10">
            <v>61</v>
          </cell>
          <cell r="AD10">
            <v>114</v>
          </cell>
          <cell r="AE10">
            <v>29.091000000000001</v>
          </cell>
          <cell r="AF10">
            <v>76.341999999999999</v>
          </cell>
        </row>
        <row r="11">
          <cell r="B11" t="str">
            <v>ALLURI SEETHARAMA RAJU</v>
          </cell>
          <cell r="W11">
            <v>7</v>
          </cell>
          <cell r="X11">
            <v>1</v>
          </cell>
          <cell r="Y11">
            <v>2</v>
          </cell>
          <cell r="Z11">
            <v>1.6</v>
          </cell>
          <cell r="AA11">
            <v>2</v>
          </cell>
          <cell r="AB11">
            <v>2</v>
          </cell>
          <cell r="AC11">
            <v>6</v>
          </cell>
          <cell r="AD11">
            <v>9</v>
          </cell>
          <cell r="AE11">
            <v>1.657</v>
          </cell>
          <cell r="AF11">
            <v>3.6029999999999998</v>
          </cell>
        </row>
        <row r="12">
          <cell r="B12" t="str">
            <v>Dr Ambedkar Konaseema</v>
          </cell>
          <cell r="W12">
            <v>22</v>
          </cell>
          <cell r="X12">
            <v>4</v>
          </cell>
          <cell r="Y12">
            <v>16</v>
          </cell>
          <cell r="Z12">
            <v>12.8</v>
          </cell>
          <cell r="AA12">
            <v>5</v>
          </cell>
          <cell r="AB12">
            <v>0</v>
          </cell>
          <cell r="AC12">
            <v>13</v>
          </cell>
          <cell r="AD12">
            <v>45</v>
          </cell>
          <cell r="AE12">
            <v>11.717999999999998</v>
          </cell>
          <cell r="AF12">
            <v>23.2</v>
          </cell>
        </row>
        <row r="13">
          <cell r="B13" t="str">
            <v>West Godavari</v>
          </cell>
          <cell r="W13">
            <v>34</v>
          </cell>
          <cell r="X13">
            <v>1</v>
          </cell>
          <cell r="Y13">
            <v>17</v>
          </cell>
          <cell r="Z13">
            <v>13.600000000000001</v>
          </cell>
          <cell r="AA13">
            <v>9</v>
          </cell>
          <cell r="AB13">
            <v>0</v>
          </cell>
          <cell r="AC13">
            <v>29</v>
          </cell>
          <cell r="AD13">
            <v>87</v>
          </cell>
          <cell r="AE13">
            <v>15.114000000000001</v>
          </cell>
          <cell r="AF13">
            <v>55.02000000000001</v>
          </cell>
        </row>
        <row r="14">
          <cell r="B14" t="str">
            <v>Eluru</v>
          </cell>
          <cell r="W14">
            <v>67</v>
          </cell>
          <cell r="X14">
            <v>4</v>
          </cell>
          <cell r="Y14">
            <v>40</v>
          </cell>
          <cell r="Z14">
            <v>32</v>
          </cell>
          <cell r="AA14">
            <v>11</v>
          </cell>
          <cell r="AB14">
            <v>2</v>
          </cell>
          <cell r="AC14">
            <v>63</v>
          </cell>
          <cell r="AD14">
            <v>87</v>
          </cell>
          <cell r="AE14">
            <v>32.766000000000005</v>
          </cell>
          <cell r="AF14">
            <v>78.591999999999999</v>
          </cell>
        </row>
        <row r="15">
          <cell r="B15" t="str">
            <v>Guntur</v>
          </cell>
          <cell r="W15">
            <v>56</v>
          </cell>
          <cell r="X15">
            <v>2</v>
          </cell>
          <cell r="Y15">
            <v>54</v>
          </cell>
          <cell r="Z15">
            <v>43.2</v>
          </cell>
          <cell r="AA15">
            <v>15</v>
          </cell>
          <cell r="AB15">
            <v>9</v>
          </cell>
          <cell r="AC15">
            <v>63</v>
          </cell>
          <cell r="AD15">
            <v>139</v>
          </cell>
          <cell r="AE15">
            <v>44.655999999999992</v>
          </cell>
          <cell r="AF15">
            <v>75.170999999999992</v>
          </cell>
        </row>
        <row r="16">
          <cell r="B16" t="str">
            <v>NTR</v>
          </cell>
          <cell r="W16">
            <v>46</v>
          </cell>
          <cell r="X16">
            <v>4</v>
          </cell>
          <cell r="Y16">
            <v>58</v>
          </cell>
          <cell r="Z16">
            <v>46.400000000000006</v>
          </cell>
          <cell r="AA16">
            <v>13</v>
          </cell>
          <cell r="AB16">
            <v>7</v>
          </cell>
          <cell r="AC16">
            <v>60</v>
          </cell>
          <cell r="AD16">
            <v>122</v>
          </cell>
          <cell r="AE16">
            <v>35.036000000000001</v>
          </cell>
          <cell r="AF16">
            <v>50.024000000000001</v>
          </cell>
        </row>
        <row r="17">
          <cell r="B17" t="str">
            <v>krishna</v>
          </cell>
          <cell r="W17">
            <v>44</v>
          </cell>
          <cell r="X17">
            <v>3</v>
          </cell>
          <cell r="Y17">
            <v>38</v>
          </cell>
          <cell r="Z17">
            <v>30.400000000000002</v>
          </cell>
          <cell r="AA17">
            <v>11</v>
          </cell>
          <cell r="AB17">
            <v>6</v>
          </cell>
          <cell r="AC17">
            <v>51</v>
          </cell>
          <cell r="AD17">
            <v>97</v>
          </cell>
          <cell r="AE17">
            <v>26.743999999999996</v>
          </cell>
          <cell r="AF17">
            <v>68.021999999999991</v>
          </cell>
        </row>
        <row r="18">
          <cell r="B18" t="str">
            <v>Bapatla</v>
          </cell>
          <cell r="W18">
            <v>42</v>
          </cell>
          <cell r="X18">
            <v>2</v>
          </cell>
          <cell r="Y18">
            <v>39</v>
          </cell>
          <cell r="Z18">
            <v>31.200000000000003</v>
          </cell>
          <cell r="AA18">
            <v>9</v>
          </cell>
          <cell r="AB18">
            <v>4</v>
          </cell>
          <cell r="AC18">
            <v>37</v>
          </cell>
          <cell r="AD18">
            <v>81</v>
          </cell>
          <cell r="AE18">
            <v>21.364000000000001</v>
          </cell>
          <cell r="AF18">
            <v>61.512000000000015</v>
          </cell>
        </row>
        <row r="19">
          <cell r="B19" t="str">
            <v>Palnadu</v>
          </cell>
          <cell r="W19">
            <v>72</v>
          </cell>
          <cell r="X19">
            <v>1</v>
          </cell>
          <cell r="Y19">
            <v>57</v>
          </cell>
          <cell r="Z19">
            <v>45.6</v>
          </cell>
          <cell r="AA19">
            <v>32</v>
          </cell>
          <cell r="AB19">
            <v>12</v>
          </cell>
          <cell r="AC19">
            <v>140</v>
          </cell>
          <cell r="AD19">
            <v>298</v>
          </cell>
          <cell r="AE19">
            <v>33.085999999999999</v>
          </cell>
          <cell r="AF19">
            <v>81.656000000000006</v>
          </cell>
        </row>
        <row r="20">
          <cell r="B20" t="str">
            <v>NANDYAL</v>
          </cell>
          <cell r="W20">
            <v>36</v>
          </cell>
          <cell r="X20">
            <v>2</v>
          </cell>
          <cell r="Y20">
            <v>54</v>
          </cell>
          <cell r="Z20">
            <v>43.2</v>
          </cell>
          <cell r="AA20">
            <v>15</v>
          </cell>
          <cell r="AB20">
            <v>5</v>
          </cell>
          <cell r="AC20">
            <v>72</v>
          </cell>
          <cell r="AD20">
            <v>134</v>
          </cell>
          <cell r="AE20">
            <v>9.0469999999999988</v>
          </cell>
          <cell r="AF20">
            <v>34.635000000000005</v>
          </cell>
        </row>
        <row r="21">
          <cell r="B21" t="str">
            <v>kurnool</v>
          </cell>
          <cell r="W21">
            <v>40</v>
          </cell>
          <cell r="X21">
            <v>6</v>
          </cell>
          <cell r="Y21">
            <v>8</v>
          </cell>
          <cell r="Z21">
            <v>6.4</v>
          </cell>
          <cell r="AA21">
            <v>8</v>
          </cell>
          <cell r="AB21">
            <v>7</v>
          </cell>
          <cell r="AC21">
            <v>34</v>
          </cell>
          <cell r="AD21">
            <v>72</v>
          </cell>
          <cell r="AE21">
            <v>15.99</v>
          </cell>
          <cell r="AF21">
            <v>34.146000000000001</v>
          </cell>
        </row>
        <row r="22">
          <cell r="B22" t="str">
            <v>YSR Kadapa</v>
          </cell>
          <cell r="W22">
            <v>61</v>
          </cell>
          <cell r="X22">
            <v>2</v>
          </cell>
          <cell r="Y22">
            <v>3</v>
          </cell>
          <cell r="Z22">
            <v>2.4000000000000004</v>
          </cell>
          <cell r="AA22">
            <v>2</v>
          </cell>
          <cell r="AB22">
            <v>1</v>
          </cell>
          <cell r="AC22">
            <v>0</v>
          </cell>
          <cell r="AD22">
            <v>20</v>
          </cell>
          <cell r="AE22">
            <v>18.449000000000002</v>
          </cell>
          <cell r="AF22">
            <v>48.705000000000005</v>
          </cell>
        </row>
        <row r="23">
          <cell r="B23" t="str">
            <v>ANANTAPUR</v>
          </cell>
          <cell r="W23">
            <v>37</v>
          </cell>
          <cell r="X23">
            <v>3</v>
          </cell>
          <cell r="Y23">
            <v>20</v>
          </cell>
          <cell r="Z23">
            <v>16</v>
          </cell>
          <cell r="AA23">
            <v>17</v>
          </cell>
          <cell r="AB23">
            <v>8</v>
          </cell>
          <cell r="AC23">
            <v>54</v>
          </cell>
          <cell r="AD23">
            <v>180</v>
          </cell>
          <cell r="AE23">
            <v>22.604999999999997</v>
          </cell>
          <cell r="AF23">
            <v>33.905000000000001</v>
          </cell>
        </row>
        <row r="24">
          <cell r="B24" t="str">
            <v>SPS NELLORE</v>
          </cell>
          <cell r="W24">
            <v>85</v>
          </cell>
          <cell r="X24">
            <v>5</v>
          </cell>
          <cell r="Y24">
            <v>9</v>
          </cell>
          <cell r="Z24">
            <v>7.2</v>
          </cell>
          <cell r="AA24">
            <v>8</v>
          </cell>
          <cell r="AB24">
            <v>7</v>
          </cell>
          <cell r="AC24">
            <v>41</v>
          </cell>
          <cell r="AD24">
            <v>67</v>
          </cell>
          <cell r="AE24">
            <v>30.431999999999995</v>
          </cell>
          <cell r="AF24">
            <v>68.319000000000003</v>
          </cell>
        </row>
        <row r="25">
          <cell r="B25" t="str">
            <v>TIRUPATHI</v>
          </cell>
          <cell r="W25">
            <v>61</v>
          </cell>
          <cell r="X25">
            <v>4</v>
          </cell>
          <cell r="Y25">
            <v>54</v>
          </cell>
          <cell r="Z25">
            <v>43.2</v>
          </cell>
          <cell r="AA25">
            <v>28</v>
          </cell>
          <cell r="AB25">
            <v>10</v>
          </cell>
          <cell r="AC25">
            <v>140</v>
          </cell>
          <cell r="AD25">
            <v>250</v>
          </cell>
          <cell r="AE25">
            <v>30.038</v>
          </cell>
          <cell r="AF25">
            <v>47.163999999999994</v>
          </cell>
        </row>
        <row r="26">
          <cell r="B26" t="str">
            <v>Markapuram</v>
          </cell>
          <cell r="W26">
            <v>32</v>
          </cell>
          <cell r="X26">
            <v>2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11</v>
          </cell>
          <cell r="AF26">
            <v>14</v>
          </cell>
        </row>
        <row r="27">
          <cell r="B27" t="str">
            <v>PRAKASAM</v>
          </cell>
          <cell r="W27">
            <v>40</v>
          </cell>
          <cell r="X27">
            <v>3</v>
          </cell>
          <cell r="Y27">
            <v>62</v>
          </cell>
          <cell r="Z27">
            <v>49.6</v>
          </cell>
          <cell r="AA27">
            <v>15</v>
          </cell>
          <cell r="AB27">
            <v>15</v>
          </cell>
          <cell r="AC27">
            <v>72</v>
          </cell>
          <cell r="AD27">
            <v>128</v>
          </cell>
          <cell r="AE27">
            <v>25.234999999999999</v>
          </cell>
          <cell r="AF27">
            <v>16.260000000000002</v>
          </cell>
        </row>
        <row r="28">
          <cell r="B28" t="str">
            <v>CHITTOOR</v>
          </cell>
          <cell r="W28">
            <v>31</v>
          </cell>
          <cell r="X28">
            <v>3</v>
          </cell>
          <cell r="Y28">
            <v>17</v>
          </cell>
          <cell r="Z28">
            <v>13.600000000000001</v>
          </cell>
          <cell r="AA28">
            <v>1</v>
          </cell>
          <cell r="AB28">
            <v>0</v>
          </cell>
          <cell r="AC28">
            <v>0</v>
          </cell>
          <cell r="AD28">
            <v>12</v>
          </cell>
          <cell r="AE28">
            <v>6.1479999999999988</v>
          </cell>
          <cell r="AF28">
            <v>7.8720000000000008</v>
          </cell>
        </row>
        <row r="29">
          <cell r="B29" t="str">
            <v>ANNAMAYYA</v>
          </cell>
          <cell r="W29">
            <v>43</v>
          </cell>
          <cell r="X29">
            <v>1</v>
          </cell>
          <cell r="Y29">
            <v>9</v>
          </cell>
          <cell r="Z29">
            <v>7.2</v>
          </cell>
          <cell r="AA29">
            <v>3</v>
          </cell>
          <cell r="AB29">
            <v>2</v>
          </cell>
          <cell r="AC29">
            <v>14</v>
          </cell>
          <cell r="AD29">
            <v>26</v>
          </cell>
          <cell r="AE29">
            <v>12.075000000000001</v>
          </cell>
          <cell r="AF29">
            <v>18.332000000000001</v>
          </cell>
        </row>
        <row r="30">
          <cell r="B30" t="str">
            <v>SRI SATYA SAI</v>
          </cell>
          <cell r="W30">
            <v>25</v>
          </cell>
          <cell r="X30">
            <v>0</v>
          </cell>
          <cell r="Y30">
            <v>33</v>
          </cell>
          <cell r="Z30">
            <v>26.400000000000002</v>
          </cell>
          <cell r="AA30">
            <v>17</v>
          </cell>
          <cell r="AB30">
            <v>12</v>
          </cell>
          <cell r="AC30">
            <v>83</v>
          </cell>
          <cell r="AD30">
            <v>147</v>
          </cell>
          <cell r="AE30">
            <v>14.245000000000001</v>
          </cell>
          <cell r="AF30">
            <v>14.42</v>
          </cell>
        </row>
        <row r="31">
          <cell r="W31">
            <v>1149</v>
          </cell>
          <cell r="X31">
            <v>72</v>
          </cell>
          <cell r="Y31">
            <v>813</v>
          </cell>
          <cell r="Z31">
            <v>650.4</v>
          </cell>
          <cell r="AA31">
            <v>288</v>
          </cell>
          <cell r="AB31">
            <v>146</v>
          </cell>
          <cell r="AC31">
            <v>1285</v>
          </cell>
          <cell r="AD31">
            <v>2572</v>
          </cell>
          <cell r="AE31">
            <v>613.26700000000017</v>
          </cell>
          <cell r="AF31">
            <v>1221.9930000000004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42"/>
  <sheetViews>
    <sheetView showGridLines="0" topLeftCell="A25" workbookViewId="0">
      <selection activeCell="AS7" sqref="AS7"/>
    </sheetView>
  </sheetViews>
  <sheetFormatPr defaultColWidth="8.81640625" defaultRowHeight="14.5" x14ac:dyDescent="0.35"/>
  <cols>
    <col min="1" max="1" width="5.453125" style="1" bestFit="1" customWidth="1"/>
    <col min="2" max="2" width="26" bestFit="1" customWidth="1"/>
    <col min="3" max="3" width="10.1796875" style="6" customWidth="1"/>
    <col min="4" max="4" width="14.81640625" style="6" customWidth="1"/>
    <col min="5" max="6" width="14" style="6" customWidth="1"/>
    <col min="7" max="7" width="12.453125" style="6" customWidth="1"/>
    <col min="8" max="8" width="12.1796875" style="6" customWidth="1"/>
    <col min="9" max="9" width="10.90625" style="6" customWidth="1"/>
    <col min="10" max="12" width="6.81640625" style="6" customWidth="1"/>
    <col min="13" max="13" width="8.26953125" style="6" customWidth="1"/>
    <col min="14" max="14" width="6.81640625" style="6" customWidth="1"/>
    <col min="15" max="15" width="8.81640625" customWidth="1"/>
    <col min="16" max="16" width="13.26953125" customWidth="1"/>
    <col min="17" max="20" width="12.6328125" customWidth="1"/>
    <col min="21" max="29" width="8.81640625" customWidth="1"/>
    <col min="30" max="30" width="13.54296875" customWidth="1"/>
    <col min="31" max="31" width="8.81640625" customWidth="1"/>
    <col min="32" max="32" width="10.453125" customWidth="1"/>
    <col min="33" max="33" width="12.36328125" customWidth="1"/>
    <col min="34" max="36" width="8.81640625" customWidth="1"/>
    <col min="37" max="39" width="11.1796875" customWidth="1"/>
    <col min="40" max="40" width="11" customWidth="1"/>
    <col min="41" max="41" width="13" customWidth="1"/>
    <col min="42" max="42" width="12.1796875" customWidth="1"/>
    <col min="43" max="45" width="12.90625" customWidth="1"/>
    <col min="46" max="46" width="11" customWidth="1"/>
  </cols>
  <sheetData>
    <row r="1" spans="1:55" ht="23.5" x14ac:dyDescent="0.55000000000000004">
      <c r="A1" s="74" t="s">
        <v>90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</row>
    <row r="2" spans="1:55" s="2" customFormat="1" ht="20" customHeight="1" x14ac:dyDescent="0.35">
      <c r="A2" s="79" t="s">
        <v>9</v>
      </c>
      <c r="B2" s="79" t="s">
        <v>19</v>
      </c>
      <c r="C2" s="78" t="s">
        <v>10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5" t="s">
        <v>11</v>
      </c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6" t="s">
        <v>12</v>
      </c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7" t="s">
        <v>31</v>
      </c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95"/>
    </row>
    <row r="3" spans="1:55" s="2" customFormat="1" ht="30" customHeight="1" x14ac:dyDescent="0.35">
      <c r="A3" s="79"/>
      <c r="B3" s="79"/>
      <c r="C3" s="78" t="s">
        <v>22</v>
      </c>
      <c r="D3" s="78" t="s">
        <v>65</v>
      </c>
      <c r="E3" s="78"/>
      <c r="F3" s="78"/>
      <c r="G3" s="78" t="s">
        <v>39</v>
      </c>
      <c r="H3" s="78" t="s">
        <v>69</v>
      </c>
      <c r="I3" s="78" t="s">
        <v>40</v>
      </c>
      <c r="J3" s="78" t="s">
        <v>41</v>
      </c>
      <c r="K3" s="78" t="s">
        <v>70</v>
      </c>
      <c r="L3" s="78" t="s">
        <v>33</v>
      </c>
      <c r="M3" s="78"/>
      <c r="N3" s="78" t="s">
        <v>42</v>
      </c>
      <c r="O3" s="78"/>
      <c r="P3" s="75" t="s">
        <v>22</v>
      </c>
      <c r="Q3" s="75" t="s">
        <v>65</v>
      </c>
      <c r="R3" s="75"/>
      <c r="S3" s="75"/>
      <c r="T3" s="75" t="s">
        <v>39</v>
      </c>
      <c r="U3" s="75" t="s">
        <v>69</v>
      </c>
      <c r="V3" s="75" t="s">
        <v>40</v>
      </c>
      <c r="W3" s="75" t="s">
        <v>41</v>
      </c>
      <c r="X3" s="75" t="s">
        <v>70</v>
      </c>
      <c r="Y3" s="75" t="s">
        <v>33</v>
      </c>
      <c r="Z3" s="75"/>
      <c r="AA3" s="75" t="s">
        <v>42</v>
      </c>
      <c r="AB3" s="75"/>
      <c r="AC3" s="76" t="s">
        <v>22</v>
      </c>
      <c r="AD3" s="76" t="s">
        <v>65</v>
      </c>
      <c r="AE3" s="76"/>
      <c r="AF3" s="76"/>
      <c r="AG3" s="76" t="s">
        <v>39</v>
      </c>
      <c r="AH3" s="76" t="s">
        <v>69</v>
      </c>
      <c r="AI3" s="76" t="s">
        <v>40</v>
      </c>
      <c r="AJ3" s="76" t="s">
        <v>41</v>
      </c>
      <c r="AK3" s="76" t="s">
        <v>71</v>
      </c>
      <c r="AL3" s="76" t="s">
        <v>33</v>
      </c>
      <c r="AM3" s="76"/>
      <c r="AN3" s="76" t="s">
        <v>42</v>
      </c>
      <c r="AO3" s="76"/>
      <c r="AP3" s="77" t="s">
        <v>22</v>
      </c>
      <c r="AQ3" s="77" t="s">
        <v>65</v>
      </c>
      <c r="AR3" s="77"/>
      <c r="AS3" s="77"/>
      <c r="AT3" s="77" t="s">
        <v>39</v>
      </c>
      <c r="AU3" s="77" t="s">
        <v>69</v>
      </c>
      <c r="AV3" s="77" t="s">
        <v>40</v>
      </c>
      <c r="AW3" s="77" t="s">
        <v>41</v>
      </c>
      <c r="AX3" s="77" t="s">
        <v>71</v>
      </c>
      <c r="AY3" s="77" t="s">
        <v>13</v>
      </c>
      <c r="AZ3" s="77"/>
      <c r="BA3" s="77" t="s">
        <v>42</v>
      </c>
      <c r="BB3" s="77"/>
    </row>
    <row r="4" spans="1:55" s="2" customFormat="1" ht="76" customHeight="1" x14ac:dyDescent="0.35">
      <c r="A4" s="79"/>
      <c r="B4" s="79"/>
      <c r="C4" s="78"/>
      <c r="D4" s="71" t="s">
        <v>89</v>
      </c>
      <c r="E4" s="71" t="s">
        <v>88</v>
      </c>
      <c r="F4" s="3" t="s">
        <v>66</v>
      </c>
      <c r="G4" s="78"/>
      <c r="H4" s="78"/>
      <c r="I4" s="78"/>
      <c r="J4" s="78"/>
      <c r="K4" s="78"/>
      <c r="L4" s="3" t="s">
        <v>20</v>
      </c>
      <c r="M4" s="3" t="s">
        <v>21</v>
      </c>
      <c r="N4" s="3" t="s">
        <v>20</v>
      </c>
      <c r="O4" s="3" t="s">
        <v>21</v>
      </c>
      <c r="P4" s="75"/>
      <c r="Q4" s="72" t="s">
        <v>89</v>
      </c>
      <c r="R4" s="72" t="s">
        <v>88</v>
      </c>
      <c r="S4" s="4" t="s">
        <v>66</v>
      </c>
      <c r="T4" s="75"/>
      <c r="U4" s="75"/>
      <c r="V4" s="75"/>
      <c r="W4" s="75"/>
      <c r="X4" s="75"/>
      <c r="Y4" s="4" t="s">
        <v>20</v>
      </c>
      <c r="Z4" s="4" t="s">
        <v>21</v>
      </c>
      <c r="AA4" s="4" t="s">
        <v>20</v>
      </c>
      <c r="AB4" s="4" t="s">
        <v>21</v>
      </c>
      <c r="AC4" s="76"/>
      <c r="AD4" s="73" t="s">
        <v>89</v>
      </c>
      <c r="AE4" s="73" t="s">
        <v>88</v>
      </c>
      <c r="AF4" s="5" t="s">
        <v>66</v>
      </c>
      <c r="AG4" s="76"/>
      <c r="AH4" s="76"/>
      <c r="AI4" s="76"/>
      <c r="AJ4" s="76"/>
      <c r="AK4" s="76"/>
      <c r="AL4" s="5" t="s">
        <v>20</v>
      </c>
      <c r="AM4" s="5" t="s">
        <v>21</v>
      </c>
      <c r="AN4" s="5" t="s">
        <v>20</v>
      </c>
      <c r="AO4" s="5" t="s">
        <v>21</v>
      </c>
      <c r="AP4" s="77"/>
      <c r="AQ4" s="17" t="s">
        <v>89</v>
      </c>
      <c r="AR4" s="17" t="s">
        <v>88</v>
      </c>
      <c r="AS4" s="7" t="s">
        <v>66</v>
      </c>
      <c r="AT4" s="77"/>
      <c r="AU4" s="77"/>
      <c r="AV4" s="77"/>
      <c r="AW4" s="77"/>
      <c r="AX4" s="77"/>
      <c r="AY4" s="7" t="s">
        <v>20</v>
      </c>
      <c r="AZ4" s="7" t="s">
        <v>21</v>
      </c>
      <c r="BA4" s="7" t="s">
        <v>20</v>
      </c>
      <c r="BB4" s="7" t="s">
        <v>21</v>
      </c>
    </row>
    <row r="5" spans="1:55" s="33" customFormat="1" ht="35" customHeight="1" x14ac:dyDescent="0.35">
      <c r="A5" s="23">
        <v>1</v>
      </c>
      <c r="B5" s="24" t="s">
        <v>15</v>
      </c>
      <c r="C5" s="25">
        <f>VLOOKUP(B5,'[1]Summary Sheet'!$C:$D,2,)</f>
        <v>64</v>
      </c>
      <c r="D5" s="25">
        <v>6</v>
      </c>
      <c r="E5" s="25">
        <v>0</v>
      </c>
      <c r="F5" s="26">
        <f>D5+E5</f>
        <v>6</v>
      </c>
      <c r="G5" s="26">
        <f>VLOOKUP(B5,'[4]OMC wise Summery'!$B:$D,3,)</f>
        <v>1</v>
      </c>
      <c r="H5" s="26">
        <f>VLOOKUP(B5,'[4]OMC wise Summery'!$B:$E,4,)</f>
        <v>32</v>
      </c>
      <c r="I5" s="26">
        <f>VLOOKUP(B5,'[4]OMC wise Summery'!$B:$F,5,)</f>
        <v>6</v>
      </c>
      <c r="J5" s="26">
        <f>VLOOKUP(B5,'[4]OMC wise Summery'!$B:$G,6,)</f>
        <v>6.9999999999999991</v>
      </c>
      <c r="K5" s="26">
        <f>VLOOKUP(B5,'[4]OMC wise Summery'!$B:$H,7,)</f>
        <v>0</v>
      </c>
      <c r="L5" s="27">
        <f>VLOOKUP(B5,'[4]OMC wise Summery'!$B:$I,8,)</f>
        <v>47</v>
      </c>
      <c r="M5" s="27">
        <f>VLOOKUP(B5,'[4]OMC wise Summery'!$B:$J,9,)</f>
        <v>77</v>
      </c>
      <c r="N5" s="27">
        <f>VLOOKUP(B5,'[4]OMC wise Summery'!$B:$K,10,)</f>
        <v>89.070857142857164</v>
      </c>
      <c r="O5" s="27">
        <f>VLOOKUP(B5,'[4]OMC wise Summery'!$B:$L,11,)</f>
        <v>119.45399999999998</v>
      </c>
      <c r="P5" s="28">
        <f>VLOOKUP(B5,'[2]Summary Sheet'!$C:$L,10,)</f>
        <v>37</v>
      </c>
      <c r="Q5" s="28">
        <v>4</v>
      </c>
      <c r="R5" s="28">
        <v>0</v>
      </c>
      <c r="S5" s="28">
        <f>R5+Q5</f>
        <v>4</v>
      </c>
      <c r="T5" s="28">
        <f>VLOOKUP(B5,'[5]Summary Sheet'!$C:$E,3,)</f>
        <v>3</v>
      </c>
      <c r="U5" s="28">
        <f>VLOOKUP(B5,'[5]Summary Sheet'!$C:$F,4,)</f>
        <v>15</v>
      </c>
      <c r="V5" s="28">
        <f>VLOOKUP(B5,'[5]Summary Sheet'!$C:$G,5,)</f>
        <v>15</v>
      </c>
      <c r="W5" s="28">
        <f>VLOOKUP(B5,'[5]Summary Sheet'!$C:$H,6,)</f>
        <v>5</v>
      </c>
      <c r="X5" s="28">
        <f>VLOOKUP(B5,'[5]Summary Sheet'!$C:$I,7,)</f>
        <v>0</v>
      </c>
      <c r="Y5" s="28">
        <f>VLOOKUP(B5,'[5]Summary Sheet'!$C:$J,8,)</f>
        <v>26</v>
      </c>
      <c r="Z5" s="28">
        <f>VLOOKUP(B5,'[5]Summary Sheet'!$C:$K,9,)</f>
        <v>38</v>
      </c>
      <c r="AA5" s="35">
        <f>VLOOKUP(B5,'[5]Summary Sheet'!$C:$L,10,)</f>
        <v>24</v>
      </c>
      <c r="AB5" s="35">
        <f>VLOOKUP(B5,'[5]Summary Sheet'!$C:$M,11,)</f>
        <v>35</v>
      </c>
      <c r="AC5" s="29">
        <f>VLOOKUP(B5,'[3]Summary Sheet'!$C:$T,18,)</f>
        <v>42</v>
      </c>
      <c r="AD5" s="29">
        <v>6</v>
      </c>
      <c r="AE5" s="29">
        <v>0</v>
      </c>
      <c r="AF5" s="29">
        <f>AE5+AD5</f>
        <v>6</v>
      </c>
      <c r="AG5" s="29">
        <f>VLOOKUP(B5,'[6]OMC wise Summery'!$B:$X,23,)</f>
        <v>1</v>
      </c>
      <c r="AH5" s="29">
        <f>VLOOKUP(B5,'[6]OMC wise Summery'!$B:$Y,24,)</f>
        <v>53</v>
      </c>
      <c r="AI5" s="30">
        <f>VLOOKUP(B5,'[6]OMC wise Summery'!$B:$Z,25,)</f>
        <v>42.400000000000006</v>
      </c>
      <c r="AJ5" s="29">
        <f>VLOOKUP(B5,'[6]OMC wise Summery'!$B:$AA,26,)</f>
        <v>12</v>
      </c>
      <c r="AK5" s="29">
        <f>VLOOKUP(B5,'[6]OMC wise Summery'!$B:$AB,27,)</f>
        <v>10</v>
      </c>
      <c r="AL5" s="29">
        <f>VLOOKUP(B5,'[6]OMC wise Summery'!$B:$AC,28,)</f>
        <v>75</v>
      </c>
      <c r="AM5" s="29">
        <f>VLOOKUP(B5,'[6]OMC wise Summery'!$B:$AD,29,)</f>
        <v>81</v>
      </c>
      <c r="AN5" s="30">
        <f>VLOOKUP(B5,'[6]OMC wise Summery'!$B:$AE,30,)</f>
        <v>36.308999999999997</v>
      </c>
      <c r="AO5" s="30">
        <f>VLOOKUP(B5,'[6]OMC wise Summery'!$B:$AF,31,)</f>
        <v>53.995999999999988</v>
      </c>
      <c r="AP5" s="31">
        <f>AC5+P5+C5</f>
        <v>143</v>
      </c>
      <c r="AQ5" s="32">
        <f>AD5+Q5+D5</f>
        <v>16</v>
      </c>
      <c r="AR5" s="32">
        <f>AE5+R5+E5</f>
        <v>0</v>
      </c>
      <c r="AS5" s="32">
        <f>AR5+AQ5</f>
        <v>16</v>
      </c>
      <c r="AT5" s="32">
        <f>AG5+T5+F5</f>
        <v>10</v>
      </c>
      <c r="AU5" s="32">
        <f t="shared" ref="AU5:BB5" si="0">AH5+U5+H5</f>
        <v>100</v>
      </c>
      <c r="AV5" s="32">
        <f t="shared" si="0"/>
        <v>63.400000000000006</v>
      </c>
      <c r="AW5" s="32">
        <f t="shared" si="0"/>
        <v>24</v>
      </c>
      <c r="AX5" s="32">
        <f t="shared" si="0"/>
        <v>10</v>
      </c>
      <c r="AY5" s="32">
        <f t="shared" si="0"/>
        <v>148</v>
      </c>
      <c r="AZ5" s="32">
        <f t="shared" si="0"/>
        <v>196</v>
      </c>
      <c r="BA5" s="32">
        <f t="shared" si="0"/>
        <v>149.37985714285716</v>
      </c>
      <c r="BB5" s="32">
        <f t="shared" si="0"/>
        <v>208.44999999999996</v>
      </c>
    </row>
    <row r="6" spans="1:55" s="33" customFormat="1" ht="35" customHeight="1" x14ac:dyDescent="0.35">
      <c r="A6" s="23">
        <v>2</v>
      </c>
      <c r="B6" s="24" t="s">
        <v>7</v>
      </c>
      <c r="C6" s="25">
        <f>VLOOKUP(B6,'[1]Summary Sheet'!$C:$D,2,)</f>
        <v>57</v>
      </c>
      <c r="D6" s="25">
        <v>4</v>
      </c>
      <c r="E6" s="25">
        <v>2</v>
      </c>
      <c r="F6" s="26">
        <f t="shared" ref="F6:F32" si="1">D6+E6</f>
        <v>6</v>
      </c>
      <c r="G6" s="26">
        <f>VLOOKUP(B6,'[4]OMC wise Summery'!$B:$D,3,)</f>
        <v>1</v>
      </c>
      <c r="H6" s="26">
        <f>VLOOKUP(B6,'[4]OMC wise Summery'!$B:$E,4,)</f>
        <v>24</v>
      </c>
      <c r="I6" s="26">
        <f>VLOOKUP(B6,'[4]OMC wise Summery'!$B:$F,5,)</f>
        <v>6</v>
      </c>
      <c r="J6" s="26">
        <f>VLOOKUP(B6,'[4]OMC wise Summery'!$B:$G,6,)</f>
        <v>4</v>
      </c>
      <c r="K6" s="26">
        <f>VLOOKUP(B6,'[4]OMC wise Summery'!$B:$H,7,)</f>
        <v>0</v>
      </c>
      <c r="L6" s="27">
        <f>VLOOKUP(B6,'[4]OMC wise Summery'!$B:$I,8,)</f>
        <v>24</v>
      </c>
      <c r="M6" s="27">
        <f>VLOOKUP(B6,'[4]OMC wise Summery'!$B:$J,9,)</f>
        <v>44</v>
      </c>
      <c r="N6" s="27">
        <f>VLOOKUP(B6,'[4]OMC wise Summery'!$B:$K,10,)</f>
        <v>53.657000000000011</v>
      </c>
      <c r="O6" s="27">
        <f>VLOOKUP(B6,'[4]OMC wise Summery'!$B:$L,11,)</f>
        <v>96.369857142857128</v>
      </c>
      <c r="P6" s="28">
        <f>VLOOKUP(B6,'[2]Summary Sheet'!$C:$L,10,)</f>
        <v>38</v>
      </c>
      <c r="Q6" s="28">
        <v>1</v>
      </c>
      <c r="R6" s="28">
        <v>0</v>
      </c>
      <c r="S6" s="28">
        <f t="shared" ref="S6:S32" si="2">R6+Q6</f>
        <v>1</v>
      </c>
      <c r="T6" s="28">
        <f>VLOOKUP(B6,'[5]Summary Sheet'!$C:$E,3,)</f>
        <v>1</v>
      </c>
      <c r="U6" s="28">
        <f>VLOOKUP(B6,'[5]Summary Sheet'!$C:$F,4,)</f>
        <v>25</v>
      </c>
      <c r="V6" s="28">
        <f>VLOOKUP(B6,'[5]Summary Sheet'!$C:$G,5,)</f>
        <v>25</v>
      </c>
      <c r="W6" s="28">
        <f>VLOOKUP(B6,'[5]Summary Sheet'!$C:$H,6,)</f>
        <v>8</v>
      </c>
      <c r="X6" s="28">
        <f>VLOOKUP(B6,'[5]Summary Sheet'!$C:$I,7,)</f>
        <v>0</v>
      </c>
      <c r="Y6" s="28">
        <f>VLOOKUP(B6,'[5]Summary Sheet'!$C:$J,8,)</f>
        <v>42</v>
      </c>
      <c r="Z6" s="28">
        <f>VLOOKUP(B6,'[5]Summary Sheet'!$C:$K,9,)</f>
        <v>82</v>
      </c>
      <c r="AA6" s="35">
        <f>VLOOKUP(B6,'[5]Summary Sheet'!$C:$L,10,)</f>
        <v>43</v>
      </c>
      <c r="AB6" s="35">
        <f>VLOOKUP(B6,'[5]Summary Sheet'!$C:$M,11,)</f>
        <v>56</v>
      </c>
      <c r="AC6" s="29">
        <f>VLOOKUP(B6,'[3]Summary Sheet'!$C:$T,18,)</f>
        <v>34</v>
      </c>
      <c r="AD6" s="29">
        <v>1</v>
      </c>
      <c r="AE6" s="29">
        <v>1</v>
      </c>
      <c r="AF6" s="29">
        <f t="shared" ref="AF6:AF32" si="3">AE6+AD6</f>
        <v>2</v>
      </c>
      <c r="AG6" s="29">
        <f>VLOOKUP(B6,'[6]OMC wise Summery'!$B:$X,23,)</f>
        <v>4</v>
      </c>
      <c r="AH6" s="29">
        <f>VLOOKUP(B6,'[6]OMC wise Summery'!$B:$Y,24,)</f>
        <v>25</v>
      </c>
      <c r="AI6" s="30">
        <f>VLOOKUP(B6,'[6]OMC wise Summery'!$B:$Z,25,)</f>
        <v>20</v>
      </c>
      <c r="AJ6" s="29">
        <f>VLOOKUP(B6,'[6]OMC wise Summery'!$B:$AA,26,)</f>
        <v>4</v>
      </c>
      <c r="AK6" s="29">
        <f>VLOOKUP(B6,'[6]OMC wise Summery'!$B:$AB,27,)</f>
        <v>3</v>
      </c>
      <c r="AL6" s="29">
        <f>VLOOKUP(B6,'[6]OMC wise Summery'!$B:$AC,28,)</f>
        <v>22</v>
      </c>
      <c r="AM6" s="29">
        <f>VLOOKUP(B6,'[6]OMC wise Summery'!$B:$AD,29,)</f>
        <v>30</v>
      </c>
      <c r="AN6" s="30">
        <f>VLOOKUP(B6,'[6]OMC wise Summery'!$B:$AE,30,)</f>
        <v>30.743999999999993</v>
      </c>
      <c r="AO6" s="30">
        <f>VLOOKUP(B6,'[6]OMC wise Summery'!$B:$AF,31,)</f>
        <v>41.626999999999995</v>
      </c>
      <c r="AP6" s="31">
        <f t="shared" ref="AP6:AP32" si="4">AC6+P6+C6</f>
        <v>129</v>
      </c>
      <c r="AQ6" s="32">
        <f t="shared" ref="AQ6:AQ32" si="5">AD6+Q6+D6</f>
        <v>6</v>
      </c>
      <c r="AR6" s="32">
        <f t="shared" ref="AR6:AR32" si="6">AE6+R6+E6</f>
        <v>3</v>
      </c>
      <c r="AS6" s="32">
        <f t="shared" ref="AS6:AS32" si="7">AR6+AQ6</f>
        <v>9</v>
      </c>
      <c r="AT6" s="32">
        <f t="shared" ref="AT6:AT32" si="8">AG6+T6+F6</f>
        <v>11</v>
      </c>
      <c r="AU6" s="32">
        <f t="shared" ref="AU6:AU32" si="9">AH6+U6+H6</f>
        <v>74</v>
      </c>
      <c r="AV6" s="32">
        <f t="shared" ref="AV6:AV32" si="10">AI6+V6+I6</f>
        <v>51</v>
      </c>
      <c r="AW6" s="32">
        <f t="shared" ref="AW6:AW32" si="11">AJ6+W6+J6</f>
        <v>16</v>
      </c>
      <c r="AX6" s="32">
        <f t="shared" ref="AX6:AX32" si="12">AK6+X6+K6</f>
        <v>3</v>
      </c>
      <c r="AY6" s="32">
        <f t="shared" ref="AY6:AY32" si="13">AL6+Y6+L6</f>
        <v>88</v>
      </c>
      <c r="AZ6" s="32">
        <f t="shared" ref="AZ6:AZ32" si="14">AM6+Z6+M6</f>
        <v>156</v>
      </c>
      <c r="BA6" s="32">
        <f t="shared" ref="BA6:BA32" si="15">AN6+AA6+N6</f>
        <v>127.40100000000001</v>
      </c>
      <c r="BB6" s="32">
        <f t="shared" ref="BB6:BB32" si="16">AO6+AB6+O6</f>
        <v>193.99685714285712</v>
      </c>
    </row>
    <row r="7" spans="1:55" s="33" customFormat="1" ht="35" customHeight="1" x14ac:dyDescent="0.35">
      <c r="A7" s="23">
        <v>3</v>
      </c>
      <c r="B7" s="34" t="s">
        <v>27</v>
      </c>
      <c r="C7" s="25">
        <f>VLOOKUP(B7,'[1]Summary Sheet'!$C:$D,2,)</f>
        <v>20</v>
      </c>
      <c r="D7" s="25">
        <v>0</v>
      </c>
      <c r="E7" s="25">
        <v>0</v>
      </c>
      <c r="F7" s="26">
        <v>0</v>
      </c>
      <c r="G7" s="26">
        <f>VLOOKUP(B7,'[4]OMC wise Summery'!$B:$D,3,)</f>
        <v>0</v>
      </c>
      <c r="H7" s="26">
        <f>VLOOKUP(B7,'[4]OMC wise Summery'!$B:$E,4,)</f>
        <v>9</v>
      </c>
      <c r="I7" s="26">
        <f>VLOOKUP(B7,'[4]OMC wise Summery'!$B:$F,5,)</f>
        <v>1</v>
      </c>
      <c r="J7" s="26">
        <f>VLOOKUP(B7,'[4]OMC wise Summery'!$B:$G,6,)</f>
        <v>1</v>
      </c>
      <c r="K7" s="26">
        <f>VLOOKUP(B7,'[4]OMC wise Summery'!$B:$H,7,)</f>
        <v>0</v>
      </c>
      <c r="L7" s="27">
        <f>VLOOKUP(B7,'[4]OMC wise Summery'!$B:$I,8,)</f>
        <v>4</v>
      </c>
      <c r="M7" s="27">
        <f>VLOOKUP(B7,'[4]OMC wise Summery'!$B:$J,9,)</f>
        <v>8</v>
      </c>
      <c r="N7" s="27">
        <f>VLOOKUP(B7,'[4]OMC wise Summery'!$B:$K,10,)</f>
        <v>19.216714285714289</v>
      </c>
      <c r="O7" s="27">
        <f>VLOOKUP(B7,'[4]OMC wise Summery'!$B:$L,11,)</f>
        <v>31.007285714285718</v>
      </c>
      <c r="P7" s="28">
        <f>VLOOKUP(B7,'[2]Summary Sheet'!$C:$L,10,)</f>
        <v>22</v>
      </c>
      <c r="Q7" s="28">
        <v>0</v>
      </c>
      <c r="R7" s="28">
        <v>0</v>
      </c>
      <c r="S7" s="28">
        <f t="shared" si="2"/>
        <v>0</v>
      </c>
      <c r="T7" s="28">
        <f>VLOOKUP(B7,'[5]Summary Sheet'!$C:$E,3,)</f>
        <v>1</v>
      </c>
      <c r="U7" s="28">
        <f>VLOOKUP(B7,'[5]Summary Sheet'!$C:$F,4,)</f>
        <v>8</v>
      </c>
      <c r="V7" s="28">
        <f>VLOOKUP(B7,'[5]Summary Sheet'!$C:$G,5,)</f>
        <v>8</v>
      </c>
      <c r="W7" s="28">
        <f>VLOOKUP(B7,'[5]Summary Sheet'!$C:$H,6,)</f>
        <v>5</v>
      </c>
      <c r="X7" s="28">
        <f>VLOOKUP(B7,'[5]Summary Sheet'!$C:$I,7,)</f>
        <v>0</v>
      </c>
      <c r="Y7" s="28">
        <f>VLOOKUP(B7,'[5]Summary Sheet'!$C:$J,8,)</f>
        <v>22</v>
      </c>
      <c r="Z7" s="28">
        <f>VLOOKUP(B7,'[5]Summary Sheet'!$C:$K,9,)</f>
        <v>50</v>
      </c>
      <c r="AA7" s="35">
        <f>VLOOKUP(B7,'[5]Summary Sheet'!$C:$L,10,)</f>
        <v>11</v>
      </c>
      <c r="AB7" s="35">
        <f>VLOOKUP(B7,'[5]Summary Sheet'!$C:$M,11,)</f>
        <v>18</v>
      </c>
      <c r="AC7" s="29">
        <f>VLOOKUP(B7,'[3]Summary Sheet'!$C:$T,18,)</f>
        <v>11</v>
      </c>
      <c r="AD7" s="29">
        <v>1</v>
      </c>
      <c r="AE7" s="29">
        <v>0</v>
      </c>
      <c r="AF7" s="29">
        <f t="shared" si="3"/>
        <v>1</v>
      </c>
      <c r="AG7" s="29">
        <f>VLOOKUP(B7,'[6]OMC wise Summery'!$B:$X,23,)</f>
        <v>2</v>
      </c>
      <c r="AH7" s="29">
        <f>VLOOKUP(B7,'[6]OMC wise Summery'!$B:$Y,24,)</f>
        <v>3</v>
      </c>
      <c r="AI7" s="30">
        <f>VLOOKUP(B7,'[6]OMC wise Summery'!$B:$Z,25,)</f>
        <v>2.4000000000000004</v>
      </c>
      <c r="AJ7" s="29">
        <f>VLOOKUP(B7,'[6]OMC wise Summery'!$B:$AA,26,)</f>
        <v>2</v>
      </c>
      <c r="AK7" s="29">
        <f>VLOOKUP(B7,'[6]OMC wise Summery'!$B:$AB,27,)</f>
        <v>2</v>
      </c>
      <c r="AL7" s="29">
        <f>VLOOKUP(B7,'[6]OMC wise Summery'!$B:$AC,28,)</f>
        <v>15</v>
      </c>
      <c r="AM7" s="29">
        <f>VLOOKUP(B7,'[6]OMC wise Summery'!$B:$AD,29,)</f>
        <v>10</v>
      </c>
      <c r="AN7" s="30">
        <f>VLOOKUP(B7,'[6]OMC wise Summery'!$B:$AE,30,)</f>
        <v>4.5839999999999996</v>
      </c>
      <c r="AO7" s="30">
        <f>VLOOKUP(B7,'[6]OMC wise Summery'!$B:$AF,31,)</f>
        <v>2.371</v>
      </c>
      <c r="AP7" s="31">
        <f t="shared" si="4"/>
        <v>53</v>
      </c>
      <c r="AQ7" s="32">
        <f t="shared" si="5"/>
        <v>1</v>
      </c>
      <c r="AR7" s="32">
        <f t="shared" si="6"/>
        <v>0</v>
      </c>
      <c r="AS7" s="32">
        <f t="shared" si="7"/>
        <v>1</v>
      </c>
      <c r="AT7" s="32">
        <f t="shared" si="8"/>
        <v>3</v>
      </c>
      <c r="AU7" s="32">
        <f t="shared" si="9"/>
        <v>20</v>
      </c>
      <c r="AV7" s="32">
        <f t="shared" si="10"/>
        <v>11.4</v>
      </c>
      <c r="AW7" s="32">
        <f t="shared" si="11"/>
        <v>8</v>
      </c>
      <c r="AX7" s="32">
        <f t="shared" si="12"/>
        <v>2</v>
      </c>
      <c r="AY7" s="32">
        <f t="shared" si="13"/>
        <v>41</v>
      </c>
      <c r="AZ7" s="32">
        <f t="shared" si="14"/>
        <v>68</v>
      </c>
      <c r="BA7" s="32">
        <f t="shared" si="15"/>
        <v>34.800714285714292</v>
      </c>
      <c r="BB7" s="32">
        <f t="shared" si="16"/>
        <v>51.378285714285717</v>
      </c>
    </row>
    <row r="8" spans="1:55" s="33" customFormat="1" ht="35" customHeight="1" x14ac:dyDescent="0.35">
      <c r="A8" s="23">
        <v>4</v>
      </c>
      <c r="B8" s="34" t="s">
        <v>34</v>
      </c>
      <c r="C8" s="25">
        <f>VLOOKUP(B8,'[1]Summary Sheet'!$C:$D,2,)</f>
        <v>39</v>
      </c>
      <c r="D8" s="25">
        <v>0</v>
      </c>
      <c r="E8" s="25">
        <v>1</v>
      </c>
      <c r="F8" s="26">
        <f t="shared" si="1"/>
        <v>1</v>
      </c>
      <c r="G8" s="26">
        <f>VLOOKUP(B8,'[4]OMC wise Summery'!$B:$D,3,)</f>
        <v>2</v>
      </c>
      <c r="H8" s="26">
        <f>VLOOKUP(B8,'[4]OMC wise Summery'!$B:$E,4,)</f>
        <v>21</v>
      </c>
      <c r="I8" s="26">
        <f>VLOOKUP(B8,'[4]OMC wise Summery'!$B:$F,5,)</f>
        <v>4</v>
      </c>
      <c r="J8" s="26">
        <f>VLOOKUP(B8,'[4]OMC wise Summery'!$B:$G,6,)</f>
        <v>13</v>
      </c>
      <c r="K8" s="26">
        <f>VLOOKUP(B8,'[4]OMC wise Summery'!$B:$H,7,)</f>
        <v>0</v>
      </c>
      <c r="L8" s="27">
        <f>VLOOKUP(B8,'[4]OMC wise Summery'!$B:$I,8,)</f>
        <v>83</v>
      </c>
      <c r="M8" s="27">
        <f>VLOOKUP(B8,'[4]OMC wise Summery'!$B:$J,9,)</f>
        <v>148</v>
      </c>
      <c r="N8" s="27">
        <f>VLOOKUP(B8,'[4]OMC wise Summery'!$B:$K,10,)</f>
        <v>102.0287142857143</v>
      </c>
      <c r="O8" s="27">
        <f>VLOOKUP(B8,'[4]OMC wise Summery'!$B:$L,11,)</f>
        <v>150.93928571428575</v>
      </c>
      <c r="P8" s="28">
        <f>VLOOKUP(B8,'[2]Summary Sheet'!$C:$L,10,)</f>
        <v>42</v>
      </c>
      <c r="Q8" s="28">
        <v>0</v>
      </c>
      <c r="R8" s="28">
        <v>1</v>
      </c>
      <c r="S8" s="28">
        <f t="shared" si="2"/>
        <v>1</v>
      </c>
      <c r="T8" s="28">
        <f>VLOOKUP(B8,'[5]Summary Sheet'!$C:$E,3,)</f>
        <v>0</v>
      </c>
      <c r="U8" s="28">
        <f>VLOOKUP(B8,'[5]Summary Sheet'!$C:$F,4,)</f>
        <v>30</v>
      </c>
      <c r="V8" s="28">
        <f>VLOOKUP(B8,'[5]Summary Sheet'!$C:$G,5,)</f>
        <v>30</v>
      </c>
      <c r="W8" s="28">
        <f>VLOOKUP(B8,'[5]Summary Sheet'!$C:$H,6,)</f>
        <v>17</v>
      </c>
      <c r="X8" s="28">
        <f>VLOOKUP(B8,'[5]Summary Sheet'!$C:$I,7,)</f>
        <v>1</v>
      </c>
      <c r="Y8" s="28">
        <f>VLOOKUP(B8,'[5]Summary Sheet'!$C:$J,8,)</f>
        <v>165</v>
      </c>
      <c r="Z8" s="28">
        <f>VLOOKUP(B8,'[5]Summary Sheet'!$C:$K,9,)</f>
        <v>172</v>
      </c>
      <c r="AA8" s="35">
        <f>VLOOKUP(B8,'[5]Summary Sheet'!$C:$L,10,)</f>
        <v>107</v>
      </c>
      <c r="AB8" s="35">
        <f>VLOOKUP(B8,'[5]Summary Sheet'!$C:$M,11,)</f>
        <v>117</v>
      </c>
      <c r="AC8" s="29">
        <f>VLOOKUP(B8,'[3]Summary Sheet'!$C:$T,18,)</f>
        <v>41</v>
      </c>
      <c r="AD8" s="29">
        <v>0</v>
      </c>
      <c r="AE8" s="29">
        <v>1</v>
      </c>
      <c r="AF8" s="29">
        <f t="shared" si="3"/>
        <v>1</v>
      </c>
      <c r="AG8" s="29">
        <f>VLOOKUP(B8,'[6]OMC wise Summery'!$B:$X,23,)</f>
        <v>0</v>
      </c>
      <c r="AH8" s="29">
        <f>VLOOKUP(B8,'[6]OMC wise Summery'!$B:$Y,24,)</f>
        <v>30</v>
      </c>
      <c r="AI8" s="30">
        <f>VLOOKUP(B8,'[6]OMC wise Summery'!$B:$Z,25,)</f>
        <v>24</v>
      </c>
      <c r="AJ8" s="29">
        <f>VLOOKUP(B8,'[6]OMC wise Summery'!$B:$AA,26,)</f>
        <v>9</v>
      </c>
      <c r="AK8" s="29">
        <f>VLOOKUP(B8,'[6]OMC wise Summery'!$B:$AB,27,)</f>
        <v>7</v>
      </c>
      <c r="AL8" s="29">
        <f>VLOOKUP(B8,'[6]OMC wise Summery'!$B:$AC,28,)</f>
        <v>55</v>
      </c>
      <c r="AM8" s="29">
        <f>VLOOKUP(B8,'[6]OMC wise Summery'!$B:$AD,29,)</f>
        <v>61</v>
      </c>
      <c r="AN8" s="30">
        <f>VLOOKUP(B8,'[6]OMC wise Summery'!$B:$AE,30,)</f>
        <v>60.686</v>
      </c>
      <c r="AO8" s="30">
        <f>VLOOKUP(B8,'[6]OMC wise Summery'!$B:$AF,31,)</f>
        <v>74.36</v>
      </c>
      <c r="AP8" s="31">
        <f t="shared" si="4"/>
        <v>122</v>
      </c>
      <c r="AQ8" s="32">
        <f t="shared" si="5"/>
        <v>0</v>
      </c>
      <c r="AR8" s="32">
        <f t="shared" si="6"/>
        <v>3</v>
      </c>
      <c r="AS8" s="32">
        <f t="shared" si="7"/>
        <v>3</v>
      </c>
      <c r="AT8" s="32">
        <f t="shared" si="8"/>
        <v>1</v>
      </c>
      <c r="AU8" s="32">
        <f t="shared" si="9"/>
        <v>81</v>
      </c>
      <c r="AV8" s="32">
        <f t="shared" si="10"/>
        <v>58</v>
      </c>
      <c r="AW8" s="32">
        <f t="shared" si="11"/>
        <v>39</v>
      </c>
      <c r="AX8" s="32">
        <f t="shared" si="12"/>
        <v>8</v>
      </c>
      <c r="AY8" s="32">
        <f t="shared" si="13"/>
        <v>303</v>
      </c>
      <c r="AZ8" s="32">
        <f t="shared" si="14"/>
        <v>381</v>
      </c>
      <c r="BA8" s="32">
        <f t="shared" si="15"/>
        <v>269.71471428571431</v>
      </c>
      <c r="BB8" s="32">
        <f t="shared" si="16"/>
        <v>342.29928571428576</v>
      </c>
    </row>
    <row r="9" spans="1:55" s="33" customFormat="1" ht="35" customHeight="1" x14ac:dyDescent="0.35">
      <c r="A9" s="23">
        <v>5</v>
      </c>
      <c r="B9" s="24" t="s">
        <v>14</v>
      </c>
      <c r="C9" s="25">
        <f>VLOOKUP(B9,'[1]Summary Sheet'!$C:$D,2,)</f>
        <v>61</v>
      </c>
      <c r="D9" s="25">
        <v>0</v>
      </c>
      <c r="E9" s="25">
        <v>0</v>
      </c>
      <c r="F9" s="26">
        <f t="shared" si="1"/>
        <v>0</v>
      </c>
      <c r="G9" s="26">
        <f>VLOOKUP(B9,'[4]OMC wise Summery'!$B:$D,3,)</f>
        <v>3</v>
      </c>
      <c r="H9" s="26">
        <f>VLOOKUP(B9,'[4]OMC wise Summery'!$B:$E,4,)</f>
        <v>35.000000000000007</v>
      </c>
      <c r="I9" s="26">
        <f>VLOOKUP(B9,'[4]OMC wise Summery'!$B:$F,5,)</f>
        <v>5</v>
      </c>
      <c r="J9" s="26">
        <f>VLOOKUP(B9,'[4]OMC wise Summery'!$B:$G,6,)</f>
        <v>13</v>
      </c>
      <c r="K9" s="26">
        <f>VLOOKUP(B9,'[4]OMC wise Summery'!$B:$H,7,)</f>
        <v>0</v>
      </c>
      <c r="L9" s="27">
        <f>VLOOKUP(B9,'[4]OMC wise Summery'!$B:$I,8,)</f>
        <v>61</v>
      </c>
      <c r="M9" s="27">
        <f>VLOOKUP(B9,'[4]OMC wise Summery'!$B:$J,9,)</f>
        <v>185</v>
      </c>
      <c r="N9" s="27">
        <f>VLOOKUP(B9,'[4]OMC wise Summery'!$B:$K,10,)</f>
        <v>77.132857142857162</v>
      </c>
      <c r="O9" s="27">
        <f>VLOOKUP(B9,'[4]OMC wise Summery'!$B:$L,11,)</f>
        <v>235.57500000000002</v>
      </c>
      <c r="P9" s="28">
        <f>VLOOKUP(B9,'[2]Summary Sheet'!$C:$L,10,)</f>
        <v>68</v>
      </c>
      <c r="Q9" s="28">
        <v>0</v>
      </c>
      <c r="R9" s="28">
        <v>0</v>
      </c>
      <c r="S9" s="28">
        <f t="shared" si="2"/>
        <v>0</v>
      </c>
      <c r="T9" s="28">
        <f>VLOOKUP(B9,'[5]Summary Sheet'!$C:$E,3,)</f>
        <v>3</v>
      </c>
      <c r="U9" s="28">
        <f>VLOOKUP(B9,'[5]Summary Sheet'!$C:$F,4,)</f>
        <v>35</v>
      </c>
      <c r="V9" s="28">
        <f>VLOOKUP(B9,'[5]Summary Sheet'!$C:$G,5,)</f>
        <v>35</v>
      </c>
      <c r="W9" s="28">
        <f>VLOOKUP(B9,'[5]Summary Sheet'!$C:$H,6,)</f>
        <v>14</v>
      </c>
      <c r="X9" s="28">
        <f>VLOOKUP(B9,'[5]Summary Sheet'!$C:$I,7,)</f>
        <v>0</v>
      </c>
      <c r="Y9" s="28">
        <f>VLOOKUP(B9,'[5]Summary Sheet'!$C:$J,8,)</f>
        <v>68</v>
      </c>
      <c r="Z9" s="28">
        <f>VLOOKUP(B9,'[5]Summary Sheet'!$C:$K,9,)</f>
        <v>156</v>
      </c>
      <c r="AA9" s="35">
        <f>VLOOKUP(B9,'[5]Summary Sheet'!$C:$L,10,)</f>
        <v>35</v>
      </c>
      <c r="AB9" s="35">
        <f>VLOOKUP(B9,'[5]Summary Sheet'!$C:$M,11,)</f>
        <v>101</v>
      </c>
      <c r="AC9" s="29">
        <f>VLOOKUP(B9,'[3]Summary Sheet'!$C:$T,18,)</f>
        <v>47</v>
      </c>
      <c r="AD9" s="29">
        <v>0</v>
      </c>
      <c r="AE9" s="29">
        <v>0</v>
      </c>
      <c r="AF9" s="29">
        <f t="shared" si="3"/>
        <v>0</v>
      </c>
      <c r="AG9" s="29">
        <f>VLOOKUP(B9,'[6]OMC wise Summery'!$B:$X,23,)</f>
        <v>2</v>
      </c>
      <c r="AH9" s="29">
        <f>VLOOKUP(B9,'[6]OMC wise Summery'!$B:$Y,24,)</f>
        <v>46</v>
      </c>
      <c r="AI9" s="30">
        <f>VLOOKUP(B9,'[6]OMC wise Summery'!$B:$Z,25,)</f>
        <v>36.800000000000004</v>
      </c>
      <c r="AJ9" s="29">
        <f>VLOOKUP(B9,'[6]OMC wise Summery'!$B:$AA,26,)</f>
        <v>16</v>
      </c>
      <c r="AK9" s="29">
        <f>VLOOKUP(B9,'[6]OMC wise Summery'!$B:$AB,27,)</f>
        <v>8</v>
      </c>
      <c r="AL9" s="29">
        <f>VLOOKUP(B9,'[6]OMC wise Summery'!$B:$AC,28,)</f>
        <v>51</v>
      </c>
      <c r="AM9" s="29">
        <f>VLOOKUP(B9,'[6]OMC wise Summery'!$B:$AD,29,)</f>
        <v>170</v>
      </c>
      <c r="AN9" s="30">
        <f>VLOOKUP(B9,'[6]OMC wise Summery'!$B:$AE,30,)</f>
        <v>16.898000000000003</v>
      </c>
      <c r="AO9" s="30">
        <f>VLOOKUP(B9,'[6]OMC wise Summery'!$B:$AF,31,)</f>
        <v>68.104000000000013</v>
      </c>
      <c r="AP9" s="31">
        <f t="shared" si="4"/>
        <v>176</v>
      </c>
      <c r="AQ9" s="32">
        <f t="shared" si="5"/>
        <v>0</v>
      </c>
      <c r="AR9" s="32">
        <f t="shared" si="6"/>
        <v>0</v>
      </c>
      <c r="AS9" s="32">
        <f t="shared" si="7"/>
        <v>0</v>
      </c>
      <c r="AT9" s="32">
        <f t="shared" si="8"/>
        <v>5</v>
      </c>
      <c r="AU9" s="32">
        <f t="shared" si="9"/>
        <v>116</v>
      </c>
      <c r="AV9" s="32">
        <f t="shared" si="10"/>
        <v>76.800000000000011</v>
      </c>
      <c r="AW9" s="32">
        <f t="shared" si="11"/>
        <v>43</v>
      </c>
      <c r="AX9" s="32">
        <f t="shared" si="12"/>
        <v>8</v>
      </c>
      <c r="AY9" s="32">
        <f t="shared" si="13"/>
        <v>180</v>
      </c>
      <c r="AZ9" s="32">
        <f t="shared" si="14"/>
        <v>511</v>
      </c>
      <c r="BA9" s="32">
        <f t="shared" si="15"/>
        <v>129.03085714285717</v>
      </c>
      <c r="BB9" s="32">
        <f t="shared" si="16"/>
        <v>404.67900000000003</v>
      </c>
    </row>
    <row r="10" spans="1:55" s="33" customFormat="1" ht="35" customHeight="1" x14ac:dyDescent="0.35">
      <c r="A10" s="23">
        <v>6</v>
      </c>
      <c r="B10" s="24" t="s">
        <v>17</v>
      </c>
      <c r="C10" s="25">
        <f>VLOOKUP(B10,'[1]Summary Sheet'!$C:$D,2,)</f>
        <v>0</v>
      </c>
      <c r="D10" s="25">
        <v>0</v>
      </c>
      <c r="E10" s="25">
        <v>0</v>
      </c>
      <c r="F10" s="26">
        <f t="shared" si="1"/>
        <v>0</v>
      </c>
      <c r="G10" s="26">
        <f>VLOOKUP(B10,'[4]OMC wise Summery'!$B:$D,3,)</f>
        <v>0</v>
      </c>
      <c r="H10" s="26">
        <f>VLOOKUP(B10,'[4]OMC wise Summery'!$B:$E,4,)</f>
        <v>0</v>
      </c>
      <c r="I10" s="26">
        <f>VLOOKUP(B10,'[4]OMC wise Summery'!$B:$F,5,)</f>
        <v>0</v>
      </c>
      <c r="J10" s="26">
        <f>VLOOKUP(B10,'[4]OMC wise Summery'!$B:$G,6,)</f>
        <v>0</v>
      </c>
      <c r="K10" s="26">
        <f>VLOOKUP(B10,'[4]OMC wise Summery'!$B:$H,7,)</f>
        <v>0</v>
      </c>
      <c r="L10" s="27">
        <f>VLOOKUP(B10,'[4]OMC wise Summery'!$B:$I,8,)</f>
        <v>0</v>
      </c>
      <c r="M10" s="27">
        <f>VLOOKUP(B10,'[4]OMC wise Summery'!$B:$J,9,)</f>
        <v>0</v>
      </c>
      <c r="N10" s="27">
        <f>VLOOKUP(B10,'[4]OMC wise Summery'!$B:$K,10,)</f>
        <v>0</v>
      </c>
      <c r="O10" s="27">
        <f>VLOOKUP(B10,'[4]OMC wise Summery'!$B:$L,11,)</f>
        <v>0</v>
      </c>
      <c r="P10" s="28">
        <f>VLOOKUP(B10,'[2]Summary Sheet'!$C:$L,10,)</f>
        <v>0</v>
      </c>
      <c r="Q10" s="28">
        <v>0</v>
      </c>
      <c r="R10" s="28">
        <v>0</v>
      </c>
      <c r="S10" s="28">
        <f t="shared" si="2"/>
        <v>0</v>
      </c>
      <c r="T10" s="28">
        <f>VLOOKUP(B10,'[5]Summary Sheet'!$C:$E,3,)</f>
        <v>0</v>
      </c>
      <c r="U10" s="28">
        <f>VLOOKUP(B10,'[5]Summary Sheet'!$C:$F,4,)</f>
        <v>0</v>
      </c>
      <c r="V10" s="28">
        <f>VLOOKUP(B10,'[5]Summary Sheet'!$C:$G,5,)</f>
        <v>0</v>
      </c>
      <c r="W10" s="28">
        <f>VLOOKUP(B10,'[5]Summary Sheet'!$C:$H,6,)</f>
        <v>0</v>
      </c>
      <c r="X10" s="28">
        <f>VLOOKUP(B10,'[5]Summary Sheet'!$C:$I,7,)</f>
        <v>0</v>
      </c>
      <c r="Y10" s="28">
        <f>VLOOKUP(B10,'[5]Summary Sheet'!$C:$J,8,)</f>
        <v>0</v>
      </c>
      <c r="Z10" s="28">
        <f>VLOOKUP(B10,'[5]Summary Sheet'!$C:$K,9,)</f>
        <v>0</v>
      </c>
      <c r="AA10" s="35">
        <f>VLOOKUP(B10,'[5]Summary Sheet'!$C:$L,10,)</f>
        <v>0</v>
      </c>
      <c r="AB10" s="35">
        <f>VLOOKUP(B10,'[5]Summary Sheet'!$C:$M,11,)</f>
        <v>0</v>
      </c>
      <c r="AC10" s="29">
        <f>VLOOKUP(B10,'[3]Summary Sheet'!$C:$T,18,)</f>
        <v>3</v>
      </c>
      <c r="AD10" s="29">
        <v>0</v>
      </c>
      <c r="AE10" s="29">
        <v>1</v>
      </c>
      <c r="AF10" s="29">
        <f t="shared" si="3"/>
        <v>1</v>
      </c>
      <c r="AG10" s="29">
        <f>VLOOKUP(B10,'[6]OMC wise Summery'!$B:$X,23,)</f>
        <v>3</v>
      </c>
      <c r="AH10" s="29">
        <f>VLOOKUP(B10,'[6]OMC wise Summery'!$B:$Y,24,)</f>
        <v>1</v>
      </c>
      <c r="AI10" s="30">
        <f>VLOOKUP(B10,'[6]OMC wise Summery'!$B:$Z,25,)</f>
        <v>0.8</v>
      </c>
      <c r="AJ10" s="29">
        <f>VLOOKUP(B10,'[6]OMC wise Summery'!$B:$AA,26,)</f>
        <v>1</v>
      </c>
      <c r="AK10" s="29">
        <f>VLOOKUP(B10,'[6]OMC wise Summery'!$B:$AB,27,)</f>
        <v>0</v>
      </c>
      <c r="AL10" s="29">
        <f>VLOOKUP(B10,'[6]OMC wise Summery'!$B:$AC,28,)</f>
        <v>3</v>
      </c>
      <c r="AM10" s="29">
        <f>VLOOKUP(B10,'[6]OMC wise Summery'!$B:$AD,29,)</f>
        <v>8</v>
      </c>
      <c r="AN10" s="30">
        <f>VLOOKUP(B10,'[6]OMC wise Summery'!$B:$AE,30,)</f>
        <v>4.2</v>
      </c>
      <c r="AO10" s="30">
        <f>VLOOKUP(B10,'[6]OMC wise Summery'!$B:$AF,31,)</f>
        <v>3.1</v>
      </c>
      <c r="AP10" s="31">
        <f t="shared" si="4"/>
        <v>3</v>
      </c>
      <c r="AQ10" s="32">
        <f t="shared" si="5"/>
        <v>0</v>
      </c>
      <c r="AR10" s="32">
        <f t="shared" si="6"/>
        <v>1</v>
      </c>
      <c r="AS10" s="32">
        <f t="shared" si="7"/>
        <v>1</v>
      </c>
      <c r="AT10" s="32">
        <f t="shared" si="8"/>
        <v>3</v>
      </c>
      <c r="AU10" s="32">
        <f t="shared" si="9"/>
        <v>1</v>
      </c>
      <c r="AV10" s="32">
        <f t="shared" si="10"/>
        <v>0.8</v>
      </c>
      <c r="AW10" s="32">
        <f t="shared" si="11"/>
        <v>1</v>
      </c>
      <c r="AX10" s="32">
        <f t="shared" si="12"/>
        <v>0</v>
      </c>
      <c r="AY10" s="32">
        <f t="shared" si="13"/>
        <v>3</v>
      </c>
      <c r="AZ10" s="32">
        <f t="shared" si="14"/>
        <v>8</v>
      </c>
      <c r="BA10" s="32">
        <f t="shared" si="15"/>
        <v>4.2</v>
      </c>
      <c r="BB10" s="32">
        <f t="shared" si="16"/>
        <v>3.1</v>
      </c>
    </row>
    <row r="11" spans="1:55" s="33" customFormat="1" ht="35" customHeight="1" x14ac:dyDescent="0.35">
      <c r="A11" s="23">
        <v>7</v>
      </c>
      <c r="B11" s="24" t="s">
        <v>5</v>
      </c>
      <c r="C11" s="25">
        <f>VLOOKUP(B11,'[1]Summary Sheet'!$C:$D,2,)</f>
        <v>80</v>
      </c>
      <c r="D11" s="25">
        <v>1</v>
      </c>
      <c r="E11" s="25">
        <v>2</v>
      </c>
      <c r="F11" s="26">
        <f t="shared" si="1"/>
        <v>3</v>
      </c>
      <c r="G11" s="26">
        <f>VLOOKUP(B11,'[4]OMC wise Summery'!$B:$D,3,)</f>
        <v>5</v>
      </c>
      <c r="H11" s="26">
        <f>VLOOKUP(B11,'[4]OMC wise Summery'!$B:$E,4,)</f>
        <v>57.000000000000007</v>
      </c>
      <c r="I11" s="26">
        <f>VLOOKUP(B11,'[4]OMC wise Summery'!$B:$F,5,)</f>
        <v>4</v>
      </c>
      <c r="J11" s="26">
        <f>VLOOKUP(B11,'[4]OMC wise Summery'!$B:$G,6,)</f>
        <v>29</v>
      </c>
      <c r="K11" s="26">
        <f>VLOOKUP(B11,'[4]OMC wise Summery'!$B:$H,7,)</f>
        <v>7</v>
      </c>
      <c r="L11" s="27">
        <f>VLOOKUP(B11,'[4]OMC wise Summery'!$B:$I,8,)</f>
        <v>138</v>
      </c>
      <c r="M11" s="27">
        <f>VLOOKUP(B11,'[4]OMC wise Summery'!$B:$J,9,)</f>
        <v>260</v>
      </c>
      <c r="N11" s="27">
        <f>VLOOKUP(B11,'[4]OMC wise Summery'!$B:$K,10,)</f>
        <v>160.51485714285718</v>
      </c>
      <c r="O11" s="27">
        <f>VLOOKUP(B11,'[4]OMC wise Summery'!$B:$L,11,)</f>
        <v>217.53628571428564</v>
      </c>
      <c r="P11" s="28">
        <f>VLOOKUP(B11,'[2]Summary Sheet'!$C:$L,10,)</f>
        <v>64</v>
      </c>
      <c r="Q11" s="28">
        <v>2</v>
      </c>
      <c r="R11" s="28">
        <v>3</v>
      </c>
      <c r="S11" s="28">
        <f t="shared" si="2"/>
        <v>5</v>
      </c>
      <c r="T11" s="28">
        <f>VLOOKUP(B11,'[5]Summary Sheet'!$C:$E,3,)</f>
        <v>6</v>
      </c>
      <c r="U11" s="28">
        <f>VLOOKUP(B11,'[5]Summary Sheet'!$C:$F,4,)</f>
        <v>35</v>
      </c>
      <c r="V11" s="28">
        <f>VLOOKUP(B11,'[5]Summary Sheet'!$C:$G,5,)</f>
        <v>35</v>
      </c>
      <c r="W11" s="28">
        <f>VLOOKUP(B11,'[5]Summary Sheet'!$C:$H,6,)</f>
        <v>15</v>
      </c>
      <c r="X11" s="28">
        <f>VLOOKUP(B11,'[5]Summary Sheet'!$C:$I,7,)</f>
        <v>6</v>
      </c>
      <c r="Y11" s="28">
        <f>VLOOKUP(B11,'[5]Summary Sheet'!$C:$J,8,)</f>
        <v>86</v>
      </c>
      <c r="Z11" s="28">
        <f>VLOOKUP(B11,'[5]Summary Sheet'!$C:$K,9,)</f>
        <v>130</v>
      </c>
      <c r="AA11" s="35">
        <f>VLOOKUP(B11,'[5]Summary Sheet'!$C:$L,10,)</f>
        <v>24</v>
      </c>
      <c r="AB11" s="35">
        <f>VLOOKUP(B11,'[5]Summary Sheet'!$C:$M,11,)</f>
        <v>40</v>
      </c>
      <c r="AC11" s="29">
        <f>VLOOKUP(B11,'[3]Summary Sheet'!$C:$T,18,)</f>
        <v>48</v>
      </c>
      <c r="AD11" s="29">
        <v>3</v>
      </c>
      <c r="AE11" s="29">
        <v>0</v>
      </c>
      <c r="AF11" s="29">
        <f t="shared" si="3"/>
        <v>3</v>
      </c>
      <c r="AG11" s="29">
        <f>VLOOKUP(B11,'[6]OMC wise Summery'!$B:$X,23,)</f>
        <v>1</v>
      </c>
      <c r="AH11" s="29">
        <f>VLOOKUP(B11,'[6]OMC wise Summery'!$B:$Y,24,)</f>
        <v>33</v>
      </c>
      <c r="AI11" s="30">
        <f>VLOOKUP(B11,'[6]OMC wise Summery'!$B:$Z,25,)</f>
        <v>26.400000000000002</v>
      </c>
      <c r="AJ11" s="29">
        <f>VLOOKUP(B11,'[6]OMC wise Summery'!$B:$AA,26,)</f>
        <v>10</v>
      </c>
      <c r="AK11" s="29">
        <f>VLOOKUP(B11,'[6]OMC wise Summery'!$B:$AB,27,)</f>
        <v>0</v>
      </c>
      <c r="AL11" s="29">
        <f>VLOOKUP(B11,'[6]OMC wise Summery'!$B:$AC,28,)</f>
        <v>31</v>
      </c>
      <c r="AM11" s="29">
        <f>VLOOKUP(B11,'[6]OMC wise Summery'!$B:$AD,29,)</f>
        <v>97</v>
      </c>
      <c r="AN11" s="30">
        <f>VLOOKUP(B11,'[6]OMC wise Summery'!$B:$AE,30,)</f>
        <v>13.350000000000001</v>
      </c>
      <c r="AO11" s="30">
        <f>VLOOKUP(B11,'[6]OMC wise Summery'!$B:$AF,31,)</f>
        <v>67.534999999999997</v>
      </c>
      <c r="AP11" s="31">
        <f t="shared" si="4"/>
        <v>192</v>
      </c>
      <c r="AQ11" s="32">
        <f t="shared" si="5"/>
        <v>6</v>
      </c>
      <c r="AR11" s="32">
        <f t="shared" si="6"/>
        <v>5</v>
      </c>
      <c r="AS11" s="32">
        <f t="shared" si="7"/>
        <v>11</v>
      </c>
      <c r="AT11" s="32">
        <f t="shared" si="8"/>
        <v>10</v>
      </c>
      <c r="AU11" s="32">
        <f t="shared" si="9"/>
        <v>125</v>
      </c>
      <c r="AV11" s="32">
        <f t="shared" si="10"/>
        <v>65.400000000000006</v>
      </c>
      <c r="AW11" s="32">
        <f t="shared" si="11"/>
        <v>54</v>
      </c>
      <c r="AX11" s="32">
        <f t="shared" si="12"/>
        <v>13</v>
      </c>
      <c r="AY11" s="32">
        <f t="shared" si="13"/>
        <v>255</v>
      </c>
      <c r="AZ11" s="32">
        <f t="shared" si="14"/>
        <v>487</v>
      </c>
      <c r="BA11" s="32">
        <f t="shared" si="15"/>
        <v>197.86485714285718</v>
      </c>
      <c r="BB11" s="32">
        <f t="shared" si="16"/>
        <v>325.07128571428564</v>
      </c>
    </row>
    <row r="12" spans="1:55" s="33" customFormat="1" ht="35" customHeight="1" x14ac:dyDescent="0.35">
      <c r="A12" s="23">
        <v>8</v>
      </c>
      <c r="B12" s="24" t="s">
        <v>6</v>
      </c>
      <c r="C12" s="25">
        <f>VLOOKUP(B12,'[1]Summary Sheet'!$C:$D,2,)</f>
        <v>68</v>
      </c>
      <c r="D12" s="25">
        <v>3</v>
      </c>
      <c r="E12" s="25">
        <v>0</v>
      </c>
      <c r="F12" s="26">
        <f t="shared" si="1"/>
        <v>3</v>
      </c>
      <c r="G12" s="26">
        <f>VLOOKUP(B12,'[4]OMC wise Summery'!$B:$D,3,)</f>
        <v>5</v>
      </c>
      <c r="H12" s="26">
        <f>VLOOKUP(B12,'[4]OMC wise Summery'!$B:$E,4,)</f>
        <v>27</v>
      </c>
      <c r="I12" s="26">
        <f>VLOOKUP(B12,'[4]OMC wise Summery'!$B:$F,5,)</f>
        <v>2</v>
      </c>
      <c r="J12" s="26">
        <f>VLOOKUP(B12,'[4]OMC wise Summery'!$B:$G,6,)</f>
        <v>15</v>
      </c>
      <c r="K12" s="26">
        <f>VLOOKUP(B12,'[4]OMC wise Summery'!$B:$H,7,)</f>
        <v>0</v>
      </c>
      <c r="L12" s="27">
        <f>VLOOKUP(B12,'[4]OMC wise Summery'!$B:$I,8,)</f>
        <v>97</v>
      </c>
      <c r="M12" s="27">
        <f>VLOOKUP(B12,'[4]OMC wise Summery'!$B:$J,9,)</f>
        <v>150</v>
      </c>
      <c r="N12" s="27">
        <f>VLOOKUP(B12,'[4]OMC wise Summery'!$B:$K,10,)</f>
        <v>100.27242857142853</v>
      </c>
      <c r="O12" s="27">
        <f>VLOOKUP(B12,'[4]OMC wise Summery'!$B:$L,11,)</f>
        <v>152.26999999999998</v>
      </c>
      <c r="P12" s="28">
        <f>VLOOKUP(B12,'[2]Summary Sheet'!$C:$L,10,)</f>
        <v>72</v>
      </c>
      <c r="Q12" s="28">
        <v>8</v>
      </c>
      <c r="R12" s="28">
        <v>0</v>
      </c>
      <c r="S12" s="28">
        <f t="shared" si="2"/>
        <v>8</v>
      </c>
      <c r="T12" s="28">
        <f>VLOOKUP(B12,'[5]Summary Sheet'!$C:$E,3,)</f>
        <v>6</v>
      </c>
      <c r="U12" s="28">
        <f>VLOOKUP(B12,'[5]Summary Sheet'!$C:$F,4,)</f>
        <v>35</v>
      </c>
      <c r="V12" s="28">
        <f>VLOOKUP(B12,'[5]Summary Sheet'!$C:$G,5,)</f>
        <v>35</v>
      </c>
      <c r="W12" s="28">
        <f>VLOOKUP(B12,'[5]Summary Sheet'!$C:$H,6,)</f>
        <v>12</v>
      </c>
      <c r="X12" s="28">
        <f>VLOOKUP(B12,'[5]Summary Sheet'!$C:$I,7,)</f>
        <v>4</v>
      </c>
      <c r="Y12" s="28">
        <f>VLOOKUP(B12,'[5]Summary Sheet'!$C:$J,8,)</f>
        <v>71</v>
      </c>
      <c r="Z12" s="28">
        <f>VLOOKUP(B12,'[5]Summary Sheet'!$C:$K,9,)</f>
        <v>115</v>
      </c>
      <c r="AA12" s="35">
        <f>VLOOKUP(B12,'[5]Summary Sheet'!$C:$L,10,)</f>
        <v>28</v>
      </c>
      <c r="AB12" s="35">
        <f>VLOOKUP(B12,'[5]Summary Sheet'!$C:$M,11,)</f>
        <v>67</v>
      </c>
      <c r="AC12" s="29">
        <f>VLOOKUP(B12,'[3]Summary Sheet'!$C:$T,18,)</f>
        <v>42</v>
      </c>
      <c r="AD12" s="29">
        <v>6</v>
      </c>
      <c r="AE12" s="29">
        <v>0</v>
      </c>
      <c r="AF12" s="29">
        <f t="shared" si="3"/>
        <v>6</v>
      </c>
      <c r="AG12" s="29">
        <f>VLOOKUP(B12,'[6]OMC wise Summery'!$B:$X,23,)</f>
        <v>6</v>
      </c>
      <c r="AH12" s="29">
        <f>VLOOKUP(B12,'[6]OMC wise Summery'!$B:$Y,24,)</f>
        <v>32</v>
      </c>
      <c r="AI12" s="30">
        <f>VLOOKUP(B12,'[6]OMC wise Summery'!$B:$Z,25,)</f>
        <v>25.6</v>
      </c>
      <c r="AJ12" s="29">
        <f>VLOOKUP(B12,'[6]OMC wise Summery'!$B:$AA,26,)</f>
        <v>13</v>
      </c>
      <c r="AK12" s="29">
        <f>VLOOKUP(B12,'[6]OMC wise Summery'!$B:$AB,27,)</f>
        <v>7</v>
      </c>
      <c r="AL12" s="29">
        <f>VLOOKUP(B12,'[6]OMC wise Summery'!$B:$AC,28,)</f>
        <v>61</v>
      </c>
      <c r="AM12" s="29">
        <f>VLOOKUP(B12,'[6]OMC wise Summery'!$B:$AD,29,)</f>
        <v>114</v>
      </c>
      <c r="AN12" s="30">
        <f>VLOOKUP(B12,'[6]OMC wise Summery'!$B:$AE,30,)</f>
        <v>29.091000000000001</v>
      </c>
      <c r="AO12" s="30">
        <f>VLOOKUP(B12,'[6]OMC wise Summery'!$B:$AF,31,)</f>
        <v>76.341999999999999</v>
      </c>
      <c r="AP12" s="31">
        <f t="shared" si="4"/>
        <v>182</v>
      </c>
      <c r="AQ12" s="32">
        <f t="shared" si="5"/>
        <v>17</v>
      </c>
      <c r="AR12" s="32">
        <f t="shared" si="6"/>
        <v>0</v>
      </c>
      <c r="AS12" s="32">
        <f t="shared" si="7"/>
        <v>17</v>
      </c>
      <c r="AT12" s="32">
        <f t="shared" si="8"/>
        <v>15</v>
      </c>
      <c r="AU12" s="32">
        <f t="shared" si="9"/>
        <v>94</v>
      </c>
      <c r="AV12" s="32">
        <f t="shared" si="10"/>
        <v>62.6</v>
      </c>
      <c r="AW12" s="32">
        <f t="shared" si="11"/>
        <v>40</v>
      </c>
      <c r="AX12" s="32">
        <f t="shared" si="12"/>
        <v>11</v>
      </c>
      <c r="AY12" s="32">
        <f t="shared" si="13"/>
        <v>229</v>
      </c>
      <c r="AZ12" s="32">
        <f t="shared" si="14"/>
        <v>379</v>
      </c>
      <c r="BA12" s="32">
        <f t="shared" si="15"/>
        <v>157.36342857142853</v>
      </c>
      <c r="BB12" s="32">
        <f t="shared" si="16"/>
        <v>295.61199999999997</v>
      </c>
    </row>
    <row r="13" spans="1:55" s="33" customFormat="1" ht="35" customHeight="1" x14ac:dyDescent="0.35">
      <c r="A13" s="23">
        <v>9</v>
      </c>
      <c r="B13" s="34" t="s">
        <v>30</v>
      </c>
      <c r="C13" s="25">
        <f>VLOOKUP(B13,'[1]Summary Sheet'!$C:$D,2,)</f>
        <v>8</v>
      </c>
      <c r="D13" s="25">
        <v>1</v>
      </c>
      <c r="E13" s="25">
        <v>0</v>
      </c>
      <c r="F13" s="26">
        <f t="shared" si="1"/>
        <v>1</v>
      </c>
      <c r="G13" s="26">
        <f>VLOOKUP(B13,'[4]OMC wise Summery'!$B:$D,3,)</f>
        <v>1</v>
      </c>
      <c r="H13" s="26">
        <f>VLOOKUP(B13,'[4]OMC wise Summery'!$B:$E,4,)</f>
        <v>5</v>
      </c>
      <c r="I13" s="26">
        <f>VLOOKUP(B13,'[4]OMC wise Summery'!$B:$F,5,)</f>
        <v>0</v>
      </c>
      <c r="J13" s="26">
        <f>VLOOKUP(B13,'[4]OMC wise Summery'!$B:$G,6,)</f>
        <v>1</v>
      </c>
      <c r="K13" s="26">
        <f>VLOOKUP(B13,'[4]OMC wise Summery'!$B:$H,7,)</f>
        <v>0</v>
      </c>
      <c r="L13" s="27">
        <f>VLOOKUP(B13,'[4]OMC wise Summery'!$B:$I,8,)</f>
        <v>4</v>
      </c>
      <c r="M13" s="27">
        <f>VLOOKUP(B13,'[4]OMC wise Summery'!$B:$J,9,)</f>
        <v>8</v>
      </c>
      <c r="N13" s="27">
        <f>VLOOKUP(B13,'[4]OMC wise Summery'!$B:$K,10,)</f>
        <v>18.648285714285713</v>
      </c>
      <c r="O13" s="27">
        <f>VLOOKUP(B13,'[4]OMC wise Summery'!$B:$L,11,)</f>
        <v>16.256714285714285</v>
      </c>
      <c r="P13" s="28">
        <f>VLOOKUP(B13,'[2]Summary Sheet'!$C:$L,10,)</f>
        <v>20</v>
      </c>
      <c r="Q13" s="28">
        <v>1</v>
      </c>
      <c r="R13" s="28">
        <v>0</v>
      </c>
      <c r="S13" s="28">
        <f t="shared" si="2"/>
        <v>1</v>
      </c>
      <c r="T13" s="28">
        <f>VLOOKUP(B13,'[5]Summary Sheet'!$C:$E,3,)</f>
        <v>1</v>
      </c>
      <c r="U13" s="28">
        <f>VLOOKUP(B13,'[5]Summary Sheet'!$C:$F,4,)</f>
        <v>6</v>
      </c>
      <c r="V13" s="28">
        <f>VLOOKUP(B13,'[5]Summary Sheet'!$C:$G,5,)</f>
        <v>6</v>
      </c>
      <c r="W13" s="28">
        <f>VLOOKUP(B13,'[5]Summary Sheet'!$C:$H,6,)</f>
        <v>5</v>
      </c>
      <c r="X13" s="28">
        <f>VLOOKUP(B13,'[5]Summary Sheet'!$C:$I,7,)</f>
        <v>0</v>
      </c>
      <c r="Y13" s="28">
        <f>VLOOKUP(B13,'[5]Summary Sheet'!$C:$J,8,)</f>
        <v>32</v>
      </c>
      <c r="Z13" s="28">
        <f>VLOOKUP(B13,'[5]Summary Sheet'!$C:$K,9,)</f>
        <v>38</v>
      </c>
      <c r="AA13" s="35">
        <f>VLOOKUP(B13,'[5]Summary Sheet'!$C:$L,10,)</f>
        <v>12</v>
      </c>
      <c r="AB13" s="35">
        <f>VLOOKUP(B13,'[5]Summary Sheet'!$C:$M,11,)</f>
        <v>37</v>
      </c>
      <c r="AC13" s="29">
        <f>VLOOKUP(B13,'[3]Summary Sheet'!$C:$T,18,)</f>
        <v>7</v>
      </c>
      <c r="AD13" s="29">
        <v>1</v>
      </c>
      <c r="AE13" s="29">
        <v>0</v>
      </c>
      <c r="AF13" s="29">
        <f t="shared" si="3"/>
        <v>1</v>
      </c>
      <c r="AG13" s="29">
        <f>VLOOKUP(B13,'[6]OMC wise Summery'!$B:$X,23,)</f>
        <v>1</v>
      </c>
      <c r="AH13" s="29">
        <f>VLOOKUP(B13,'[6]OMC wise Summery'!$B:$Y,24,)</f>
        <v>2</v>
      </c>
      <c r="AI13" s="30">
        <f>VLOOKUP(B13,'[6]OMC wise Summery'!$B:$Z,25,)</f>
        <v>1.6</v>
      </c>
      <c r="AJ13" s="29">
        <f>VLOOKUP(B13,'[6]OMC wise Summery'!$B:$AA,26,)</f>
        <v>2</v>
      </c>
      <c r="AK13" s="29">
        <f>VLOOKUP(B13,'[6]OMC wise Summery'!$B:$AB,27,)</f>
        <v>2</v>
      </c>
      <c r="AL13" s="29">
        <f>VLOOKUP(B13,'[6]OMC wise Summery'!$B:$AC,28,)</f>
        <v>6</v>
      </c>
      <c r="AM13" s="29">
        <f>VLOOKUP(B13,'[6]OMC wise Summery'!$B:$AD,29,)</f>
        <v>9</v>
      </c>
      <c r="AN13" s="30">
        <f>VLOOKUP(B13,'[6]OMC wise Summery'!$B:$AE,30,)</f>
        <v>1.657</v>
      </c>
      <c r="AO13" s="30">
        <f>VLOOKUP(B13,'[6]OMC wise Summery'!$B:$AF,31,)</f>
        <v>3.6029999999999998</v>
      </c>
      <c r="AP13" s="31">
        <f t="shared" si="4"/>
        <v>35</v>
      </c>
      <c r="AQ13" s="32">
        <f t="shared" si="5"/>
        <v>3</v>
      </c>
      <c r="AR13" s="32">
        <f t="shared" si="6"/>
        <v>0</v>
      </c>
      <c r="AS13" s="32">
        <f t="shared" si="7"/>
        <v>3</v>
      </c>
      <c r="AT13" s="32">
        <f t="shared" si="8"/>
        <v>3</v>
      </c>
      <c r="AU13" s="32">
        <f t="shared" si="9"/>
        <v>13</v>
      </c>
      <c r="AV13" s="32">
        <f t="shared" si="10"/>
        <v>7.6</v>
      </c>
      <c r="AW13" s="32">
        <f t="shared" si="11"/>
        <v>8</v>
      </c>
      <c r="AX13" s="32">
        <f t="shared" si="12"/>
        <v>2</v>
      </c>
      <c r="AY13" s="32">
        <f t="shared" si="13"/>
        <v>42</v>
      </c>
      <c r="AZ13" s="32">
        <f t="shared" si="14"/>
        <v>55</v>
      </c>
      <c r="BA13" s="32">
        <f t="shared" si="15"/>
        <v>32.305285714285716</v>
      </c>
      <c r="BB13" s="32">
        <f t="shared" si="16"/>
        <v>56.85971428571429</v>
      </c>
    </row>
    <row r="14" spans="1:55" s="33" customFormat="1" ht="35" customHeight="1" x14ac:dyDescent="0.35">
      <c r="A14" s="23">
        <v>10</v>
      </c>
      <c r="B14" s="24" t="s">
        <v>29</v>
      </c>
      <c r="C14" s="25">
        <f>VLOOKUP(B14,'[1]Summary Sheet'!$C:$D,2,)</f>
        <v>48</v>
      </c>
      <c r="D14" s="25">
        <v>4</v>
      </c>
      <c r="E14" s="25">
        <v>2</v>
      </c>
      <c r="F14" s="26">
        <f t="shared" si="1"/>
        <v>6</v>
      </c>
      <c r="G14" s="26">
        <f>VLOOKUP(B14,'[4]OMC wise Summery'!$B:$D,3,)</f>
        <v>1</v>
      </c>
      <c r="H14" s="26">
        <f>VLOOKUP(B14,'[4]OMC wise Summery'!$B:$E,4,)</f>
        <v>25</v>
      </c>
      <c r="I14" s="26">
        <f>VLOOKUP(B14,'[4]OMC wise Summery'!$B:$F,5,)</f>
        <v>3</v>
      </c>
      <c r="J14" s="26">
        <f>VLOOKUP(B14,'[4]OMC wise Summery'!$B:$G,6,)</f>
        <v>8</v>
      </c>
      <c r="K14" s="26">
        <f>VLOOKUP(B14,'[4]OMC wise Summery'!$B:$H,7,)</f>
        <v>0</v>
      </c>
      <c r="L14" s="27">
        <f>VLOOKUP(B14,'[4]OMC wise Summery'!$B:$I,8,)</f>
        <v>32</v>
      </c>
      <c r="M14" s="27">
        <f>VLOOKUP(B14,'[4]OMC wise Summery'!$B:$J,9,)</f>
        <v>78</v>
      </c>
      <c r="N14" s="27">
        <f>VLOOKUP(B14,'[4]OMC wise Summery'!$B:$K,10,)</f>
        <v>92.134571428571419</v>
      </c>
      <c r="O14" s="27">
        <f>VLOOKUP(B14,'[4]OMC wise Summery'!$B:$L,11,)</f>
        <v>125.35699999999999</v>
      </c>
      <c r="P14" s="28">
        <f>VLOOKUP(B14,'[2]Summary Sheet'!$C:$L,10,)</f>
        <v>38</v>
      </c>
      <c r="Q14" s="28">
        <v>3</v>
      </c>
      <c r="R14" s="28">
        <v>0</v>
      </c>
      <c r="S14" s="28">
        <f t="shared" si="2"/>
        <v>3</v>
      </c>
      <c r="T14" s="28">
        <f>VLOOKUP(B14,'[5]Summary Sheet'!$C:$E,3,)</f>
        <v>5</v>
      </c>
      <c r="U14" s="28">
        <f>VLOOKUP(B14,'[5]Summary Sheet'!$C:$F,4,)</f>
        <v>19</v>
      </c>
      <c r="V14" s="28">
        <f>VLOOKUP(B14,'[5]Summary Sheet'!$C:$G,5,)</f>
        <v>19</v>
      </c>
      <c r="W14" s="28">
        <f>VLOOKUP(B14,'[5]Summary Sheet'!$C:$H,6,)</f>
        <v>10</v>
      </c>
      <c r="X14" s="28">
        <f>VLOOKUP(B14,'[5]Summary Sheet'!$C:$I,7,)</f>
        <v>4</v>
      </c>
      <c r="Y14" s="28">
        <f>VLOOKUP(B14,'[5]Summary Sheet'!$C:$J,8,)</f>
        <v>72</v>
      </c>
      <c r="Z14" s="28">
        <f>VLOOKUP(B14,'[5]Summary Sheet'!$C:$K,9,)</f>
        <v>98</v>
      </c>
      <c r="AA14" s="35">
        <f>VLOOKUP(B14,'[5]Summary Sheet'!$C:$L,10,)</f>
        <v>22</v>
      </c>
      <c r="AB14" s="35">
        <f>VLOOKUP(B14,'[5]Summary Sheet'!$C:$M,11,)</f>
        <v>37</v>
      </c>
      <c r="AC14" s="29">
        <f>VLOOKUP(B14,'[3]Summary Sheet'!$C:$T,18,)</f>
        <v>22</v>
      </c>
      <c r="AD14" s="29">
        <v>0</v>
      </c>
      <c r="AE14" s="29">
        <v>1</v>
      </c>
      <c r="AF14" s="29">
        <f t="shared" si="3"/>
        <v>1</v>
      </c>
      <c r="AG14" s="29">
        <f>VLOOKUP(B14,'[6]OMC wise Summery'!$B:$X,23,)</f>
        <v>4</v>
      </c>
      <c r="AH14" s="29">
        <f>VLOOKUP(B14,'[6]OMC wise Summery'!$B:$Y,24,)</f>
        <v>16</v>
      </c>
      <c r="AI14" s="30">
        <f>VLOOKUP(B14,'[6]OMC wise Summery'!$B:$Z,25,)</f>
        <v>12.8</v>
      </c>
      <c r="AJ14" s="29">
        <f>VLOOKUP(B14,'[6]OMC wise Summery'!$B:$AA,26,)</f>
        <v>5</v>
      </c>
      <c r="AK14" s="29">
        <f>VLOOKUP(B14,'[6]OMC wise Summery'!$B:$AB,27,)</f>
        <v>0</v>
      </c>
      <c r="AL14" s="29">
        <f>VLOOKUP(B14,'[6]OMC wise Summery'!$B:$AC,28,)</f>
        <v>13</v>
      </c>
      <c r="AM14" s="29">
        <f>VLOOKUP(B14,'[6]OMC wise Summery'!$B:$AD,29,)</f>
        <v>45</v>
      </c>
      <c r="AN14" s="30">
        <f>VLOOKUP(B14,'[6]OMC wise Summery'!$B:$AE,30,)</f>
        <v>11.717999999999998</v>
      </c>
      <c r="AO14" s="30">
        <f>VLOOKUP(B14,'[6]OMC wise Summery'!$B:$AF,31,)</f>
        <v>23.2</v>
      </c>
      <c r="AP14" s="31">
        <f t="shared" si="4"/>
        <v>108</v>
      </c>
      <c r="AQ14" s="32">
        <f t="shared" si="5"/>
        <v>7</v>
      </c>
      <c r="AR14" s="32">
        <f t="shared" si="6"/>
        <v>3</v>
      </c>
      <c r="AS14" s="32">
        <f t="shared" si="7"/>
        <v>10</v>
      </c>
      <c r="AT14" s="32">
        <f t="shared" si="8"/>
        <v>15</v>
      </c>
      <c r="AU14" s="32">
        <f t="shared" si="9"/>
        <v>60</v>
      </c>
      <c r="AV14" s="32">
        <f t="shared" si="10"/>
        <v>34.799999999999997</v>
      </c>
      <c r="AW14" s="32">
        <f t="shared" si="11"/>
        <v>23</v>
      </c>
      <c r="AX14" s="32">
        <f t="shared" si="12"/>
        <v>4</v>
      </c>
      <c r="AY14" s="32">
        <f t="shared" si="13"/>
        <v>117</v>
      </c>
      <c r="AZ14" s="32">
        <f t="shared" si="14"/>
        <v>221</v>
      </c>
      <c r="BA14" s="32">
        <f t="shared" si="15"/>
        <v>125.85257142857142</v>
      </c>
      <c r="BB14" s="32">
        <f t="shared" si="16"/>
        <v>185.55699999999999</v>
      </c>
    </row>
    <row r="15" spans="1:55" s="33" customFormat="1" ht="35" customHeight="1" x14ac:dyDescent="0.35">
      <c r="A15" s="23">
        <v>11</v>
      </c>
      <c r="B15" s="24" t="s">
        <v>3</v>
      </c>
      <c r="C15" s="25">
        <f>VLOOKUP(B15,'[1]Summary Sheet'!$C:$D,2,)</f>
        <v>86</v>
      </c>
      <c r="D15" s="25">
        <v>11</v>
      </c>
      <c r="E15" s="25">
        <v>0</v>
      </c>
      <c r="F15" s="26">
        <f t="shared" si="1"/>
        <v>11</v>
      </c>
      <c r="G15" s="26">
        <f>VLOOKUP(B15,'[4]OMC wise Summery'!$B:$D,3,)</f>
        <v>3</v>
      </c>
      <c r="H15" s="26">
        <f>VLOOKUP(B15,'[4]OMC wise Summery'!$B:$E,4,)</f>
        <v>49.999999999999993</v>
      </c>
      <c r="I15" s="26">
        <f>VLOOKUP(B15,'[4]OMC wise Summery'!$B:$F,5,)</f>
        <v>3</v>
      </c>
      <c r="J15" s="26">
        <f>VLOOKUP(B15,'[4]OMC wise Summery'!$B:$G,6,)</f>
        <v>17</v>
      </c>
      <c r="K15" s="26">
        <f>VLOOKUP(B15,'[4]OMC wise Summery'!$B:$H,7,)</f>
        <v>5</v>
      </c>
      <c r="L15" s="27">
        <f>VLOOKUP(B15,'[4]OMC wise Summery'!$B:$I,8,)</f>
        <v>91</v>
      </c>
      <c r="M15" s="27">
        <f>VLOOKUP(B15,'[4]OMC wise Summery'!$B:$J,9,)</f>
        <v>167</v>
      </c>
      <c r="N15" s="27">
        <f>VLOOKUP(B15,'[4]OMC wise Summery'!$B:$K,10,)</f>
        <v>131.84528571428575</v>
      </c>
      <c r="O15" s="27">
        <f>VLOOKUP(B15,'[4]OMC wise Summery'!$B:$L,11,)</f>
        <v>197.92414285714284</v>
      </c>
      <c r="P15" s="28">
        <f>VLOOKUP(B15,'[2]Summary Sheet'!$C:$L,10,)</f>
        <v>41</v>
      </c>
      <c r="Q15" s="28">
        <v>3</v>
      </c>
      <c r="R15" s="28">
        <v>2</v>
      </c>
      <c r="S15" s="28">
        <f t="shared" si="2"/>
        <v>5</v>
      </c>
      <c r="T15" s="28">
        <f>VLOOKUP(B15,'[5]Summary Sheet'!$C:$E,3,)</f>
        <v>3</v>
      </c>
      <c r="U15" s="28">
        <f>VLOOKUP(B15,'[5]Summary Sheet'!$C:$F,4,)</f>
        <v>33</v>
      </c>
      <c r="V15" s="28">
        <f>VLOOKUP(B15,'[5]Summary Sheet'!$C:$G,5,)</f>
        <v>30</v>
      </c>
      <c r="W15" s="28">
        <f>VLOOKUP(B15,'[5]Summary Sheet'!$C:$H,6,)</f>
        <v>7</v>
      </c>
      <c r="X15" s="28">
        <f>VLOOKUP(B15,'[5]Summary Sheet'!$C:$I,7,)</f>
        <v>7</v>
      </c>
      <c r="Y15" s="28">
        <f>VLOOKUP(B15,'[5]Summary Sheet'!$C:$J,8,)</f>
        <v>44</v>
      </c>
      <c r="Z15" s="28">
        <f>VLOOKUP(B15,'[5]Summary Sheet'!$C:$K,9,)</f>
        <v>60</v>
      </c>
      <c r="AA15" s="35">
        <f>VLOOKUP(B15,'[5]Summary Sheet'!$C:$L,10,)</f>
        <v>9</v>
      </c>
      <c r="AB15" s="35">
        <f>VLOOKUP(B15,'[5]Summary Sheet'!$C:$M,11,)</f>
        <v>46</v>
      </c>
      <c r="AC15" s="29">
        <f>VLOOKUP(B15,'[3]Summary Sheet'!$C:$T,18,)</f>
        <v>34</v>
      </c>
      <c r="AD15" s="29">
        <v>10</v>
      </c>
      <c r="AE15" s="29">
        <v>0</v>
      </c>
      <c r="AF15" s="29">
        <f t="shared" si="3"/>
        <v>10</v>
      </c>
      <c r="AG15" s="29">
        <f>VLOOKUP(B15,'[6]OMC wise Summery'!$B:$X,23,)</f>
        <v>1</v>
      </c>
      <c r="AH15" s="29">
        <f>VLOOKUP(B15,'[6]OMC wise Summery'!$B:$Y,24,)</f>
        <v>17</v>
      </c>
      <c r="AI15" s="30">
        <f>VLOOKUP(B15,'[6]OMC wise Summery'!$B:$Z,25,)</f>
        <v>13.600000000000001</v>
      </c>
      <c r="AJ15" s="29">
        <f>VLOOKUP(B15,'[6]OMC wise Summery'!$B:$AA,26,)</f>
        <v>9</v>
      </c>
      <c r="AK15" s="29">
        <f>VLOOKUP(B15,'[6]OMC wise Summery'!$B:$AB,27,)</f>
        <v>0</v>
      </c>
      <c r="AL15" s="29">
        <f>VLOOKUP(B15,'[6]OMC wise Summery'!$B:$AC,28,)</f>
        <v>29</v>
      </c>
      <c r="AM15" s="29">
        <f>VLOOKUP(B15,'[6]OMC wise Summery'!$B:$AD,29,)</f>
        <v>87</v>
      </c>
      <c r="AN15" s="30">
        <f>VLOOKUP(B15,'[6]OMC wise Summery'!$B:$AE,30,)</f>
        <v>15.114000000000001</v>
      </c>
      <c r="AO15" s="30">
        <f>VLOOKUP(B15,'[6]OMC wise Summery'!$B:$AF,31,)</f>
        <v>55.02000000000001</v>
      </c>
      <c r="AP15" s="31">
        <f t="shared" si="4"/>
        <v>161</v>
      </c>
      <c r="AQ15" s="32">
        <f t="shared" si="5"/>
        <v>24</v>
      </c>
      <c r="AR15" s="32">
        <f t="shared" si="6"/>
        <v>2</v>
      </c>
      <c r="AS15" s="32">
        <f t="shared" si="7"/>
        <v>26</v>
      </c>
      <c r="AT15" s="32">
        <f t="shared" si="8"/>
        <v>15</v>
      </c>
      <c r="AU15" s="32">
        <f t="shared" si="9"/>
        <v>100</v>
      </c>
      <c r="AV15" s="32">
        <f t="shared" si="10"/>
        <v>46.6</v>
      </c>
      <c r="AW15" s="32">
        <f t="shared" si="11"/>
        <v>33</v>
      </c>
      <c r="AX15" s="32">
        <f t="shared" si="12"/>
        <v>12</v>
      </c>
      <c r="AY15" s="32">
        <f t="shared" si="13"/>
        <v>164</v>
      </c>
      <c r="AZ15" s="32">
        <f t="shared" si="14"/>
        <v>314</v>
      </c>
      <c r="BA15" s="32">
        <f t="shared" si="15"/>
        <v>155.95928571428576</v>
      </c>
      <c r="BB15" s="32">
        <f t="shared" si="16"/>
        <v>298.94414285714288</v>
      </c>
    </row>
    <row r="16" spans="1:55" s="33" customFormat="1" ht="35" customHeight="1" x14ac:dyDescent="0.35">
      <c r="A16" s="23">
        <v>12</v>
      </c>
      <c r="B16" s="24" t="s">
        <v>0</v>
      </c>
      <c r="C16" s="25">
        <f>VLOOKUP(B16,'[1]Summary Sheet'!$C:$D,2,)</f>
        <v>91</v>
      </c>
      <c r="D16" s="25">
        <v>4</v>
      </c>
      <c r="E16" s="25">
        <v>0</v>
      </c>
      <c r="F16" s="26">
        <f t="shared" si="1"/>
        <v>4</v>
      </c>
      <c r="G16" s="26">
        <f>VLOOKUP(B16,'[4]OMC wise Summery'!$B:$D,3,)</f>
        <v>6</v>
      </c>
      <c r="H16" s="26">
        <f>VLOOKUP(B16,'[4]OMC wise Summery'!$B:$E,4,)</f>
        <v>40</v>
      </c>
      <c r="I16" s="26">
        <f>VLOOKUP(B16,'[4]OMC wise Summery'!$B:$F,5,)</f>
        <v>2</v>
      </c>
      <c r="J16" s="26">
        <f>VLOOKUP(B16,'[4]OMC wise Summery'!$B:$G,6,)</f>
        <v>3</v>
      </c>
      <c r="K16" s="26">
        <f>VLOOKUP(B16,'[4]OMC wise Summery'!$B:$H,7,)</f>
        <v>0</v>
      </c>
      <c r="L16" s="27">
        <f>VLOOKUP(B16,'[4]OMC wise Summery'!$B:$I,8,)</f>
        <v>25</v>
      </c>
      <c r="M16" s="27">
        <f>VLOOKUP(B16,'[4]OMC wise Summery'!$B:$J,9,)</f>
        <v>29</v>
      </c>
      <c r="N16" s="27">
        <f>VLOOKUP(B16,'[4]OMC wise Summery'!$B:$K,10,)</f>
        <v>115.53428571428574</v>
      </c>
      <c r="O16" s="27">
        <f>VLOOKUP(B16,'[4]OMC wise Summery'!$B:$L,11,)</f>
        <v>164.46399999999991</v>
      </c>
      <c r="P16" s="28">
        <f>VLOOKUP(B16,'[2]Summary Sheet'!$C:$L,10,)</f>
        <v>69</v>
      </c>
      <c r="Q16" s="28">
        <v>7</v>
      </c>
      <c r="R16" s="28">
        <v>1</v>
      </c>
      <c r="S16" s="28">
        <f t="shared" si="2"/>
        <v>8</v>
      </c>
      <c r="T16" s="28">
        <f>VLOOKUP(B16,'[5]Summary Sheet'!$C:$E,3,)</f>
        <v>4</v>
      </c>
      <c r="U16" s="28">
        <f>VLOOKUP(B16,'[5]Summary Sheet'!$C:$F,4,)</f>
        <v>51</v>
      </c>
      <c r="V16" s="28">
        <f>VLOOKUP(B16,'[5]Summary Sheet'!$C:$G,5,)</f>
        <v>49</v>
      </c>
      <c r="W16" s="28">
        <f>VLOOKUP(B16,'[5]Summary Sheet'!$C:$H,6,)</f>
        <v>13</v>
      </c>
      <c r="X16" s="28">
        <f>VLOOKUP(B16,'[5]Summary Sheet'!$C:$I,7,)</f>
        <v>9</v>
      </c>
      <c r="Y16" s="28">
        <f>VLOOKUP(B16,'[5]Summary Sheet'!$C:$J,8,)</f>
        <v>81</v>
      </c>
      <c r="Z16" s="28">
        <f>VLOOKUP(B16,'[5]Summary Sheet'!$C:$K,9,)</f>
        <v>120</v>
      </c>
      <c r="AA16" s="35">
        <f>VLOOKUP(B16,'[5]Summary Sheet'!$C:$L,10,)</f>
        <v>8</v>
      </c>
      <c r="AB16" s="35">
        <f>VLOOKUP(B16,'[5]Summary Sheet'!$C:$M,11,)</f>
        <v>43</v>
      </c>
      <c r="AC16" s="29">
        <f>VLOOKUP(B16,'[3]Summary Sheet'!$C:$T,18,)</f>
        <v>67</v>
      </c>
      <c r="AD16" s="29">
        <v>8</v>
      </c>
      <c r="AE16" s="29">
        <v>0</v>
      </c>
      <c r="AF16" s="29">
        <f t="shared" si="3"/>
        <v>8</v>
      </c>
      <c r="AG16" s="29">
        <f>VLOOKUP(B16,'[6]OMC wise Summery'!$B:$X,23,)</f>
        <v>4</v>
      </c>
      <c r="AH16" s="29">
        <f>VLOOKUP(B16,'[6]OMC wise Summery'!$B:$Y,24,)</f>
        <v>40</v>
      </c>
      <c r="AI16" s="30">
        <f>VLOOKUP(B16,'[6]OMC wise Summery'!$B:$Z,25,)</f>
        <v>32</v>
      </c>
      <c r="AJ16" s="29">
        <f>VLOOKUP(B16,'[6]OMC wise Summery'!$B:$AA,26,)</f>
        <v>11</v>
      </c>
      <c r="AK16" s="29">
        <f>VLOOKUP(B16,'[6]OMC wise Summery'!$B:$AB,27,)</f>
        <v>2</v>
      </c>
      <c r="AL16" s="29">
        <f>VLOOKUP(B16,'[6]OMC wise Summery'!$B:$AC,28,)</f>
        <v>63</v>
      </c>
      <c r="AM16" s="29">
        <f>VLOOKUP(B16,'[6]OMC wise Summery'!$B:$AD,29,)</f>
        <v>87</v>
      </c>
      <c r="AN16" s="30">
        <f>VLOOKUP(B16,'[6]OMC wise Summery'!$B:$AE,30,)</f>
        <v>32.766000000000005</v>
      </c>
      <c r="AO16" s="30">
        <f>VLOOKUP(B16,'[6]OMC wise Summery'!$B:$AF,31,)</f>
        <v>78.591999999999999</v>
      </c>
      <c r="AP16" s="31">
        <f t="shared" si="4"/>
        <v>227</v>
      </c>
      <c r="AQ16" s="32">
        <f t="shared" si="5"/>
        <v>19</v>
      </c>
      <c r="AR16" s="32">
        <f t="shared" si="6"/>
        <v>1</v>
      </c>
      <c r="AS16" s="32">
        <f t="shared" si="7"/>
        <v>20</v>
      </c>
      <c r="AT16" s="32">
        <f t="shared" si="8"/>
        <v>12</v>
      </c>
      <c r="AU16" s="32">
        <f t="shared" si="9"/>
        <v>131</v>
      </c>
      <c r="AV16" s="32">
        <f t="shared" si="10"/>
        <v>83</v>
      </c>
      <c r="AW16" s="32">
        <f t="shared" si="11"/>
        <v>27</v>
      </c>
      <c r="AX16" s="32">
        <f t="shared" si="12"/>
        <v>11</v>
      </c>
      <c r="AY16" s="32">
        <f t="shared" si="13"/>
        <v>169</v>
      </c>
      <c r="AZ16" s="32">
        <f t="shared" si="14"/>
        <v>236</v>
      </c>
      <c r="BA16" s="32">
        <f t="shared" si="15"/>
        <v>156.30028571428574</v>
      </c>
      <c r="BB16" s="32">
        <f t="shared" si="16"/>
        <v>286.05599999999993</v>
      </c>
    </row>
    <row r="17" spans="1:54" s="33" customFormat="1" ht="35" customHeight="1" x14ac:dyDescent="0.35">
      <c r="A17" s="23">
        <v>13</v>
      </c>
      <c r="B17" s="24" t="s">
        <v>1</v>
      </c>
      <c r="C17" s="25">
        <f>VLOOKUP(B17,'[1]Summary Sheet'!$C:$D,2,)</f>
        <v>78</v>
      </c>
      <c r="D17" s="25">
        <v>9</v>
      </c>
      <c r="E17" s="25">
        <v>4</v>
      </c>
      <c r="F17" s="26">
        <f t="shared" si="1"/>
        <v>13</v>
      </c>
      <c r="G17" s="26">
        <f>VLOOKUP(B17,'[4]OMC wise Summery'!$B:$D,3,)</f>
        <v>5</v>
      </c>
      <c r="H17" s="26">
        <f>VLOOKUP(B17,'[4]OMC wise Summery'!$B:$E,4,)</f>
        <v>42.000000000000007</v>
      </c>
      <c r="I17" s="26">
        <f>VLOOKUP(B17,'[4]OMC wise Summery'!$B:$F,5,)</f>
        <v>6</v>
      </c>
      <c r="J17" s="26">
        <f>VLOOKUP(B17,'[4]OMC wise Summery'!$B:$G,6,)</f>
        <v>9</v>
      </c>
      <c r="K17" s="26">
        <f>VLOOKUP(B17,'[4]OMC wise Summery'!$B:$H,7,)</f>
        <v>3</v>
      </c>
      <c r="L17" s="27">
        <f>VLOOKUP(B17,'[4]OMC wise Summery'!$B:$I,8,)</f>
        <v>67</v>
      </c>
      <c r="M17" s="27">
        <f>VLOOKUP(B17,'[4]OMC wise Summery'!$B:$J,9,)</f>
        <v>76</v>
      </c>
      <c r="N17" s="27">
        <f>VLOOKUP(B17,'[4]OMC wise Summery'!$B:$K,10,)</f>
        <v>135.79357142857143</v>
      </c>
      <c r="O17" s="27">
        <f>VLOOKUP(B17,'[4]OMC wise Summery'!$B:$L,11,)</f>
        <v>186.7851428571428</v>
      </c>
      <c r="P17" s="28">
        <f>VLOOKUP(B17,'[2]Summary Sheet'!$C:$L,10,)</f>
        <v>62</v>
      </c>
      <c r="Q17" s="28">
        <v>0</v>
      </c>
      <c r="R17" s="28">
        <v>2</v>
      </c>
      <c r="S17" s="28">
        <f t="shared" si="2"/>
        <v>2</v>
      </c>
      <c r="T17" s="28">
        <f>VLOOKUP(B17,'[5]Summary Sheet'!$C:$E,3,)</f>
        <v>10</v>
      </c>
      <c r="U17" s="28">
        <f>VLOOKUP(B17,'[5]Summary Sheet'!$C:$F,4,)</f>
        <v>54</v>
      </c>
      <c r="V17" s="28">
        <f>VLOOKUP(B17,'[5]Summary Sheet'!$C:$G,5,)</f>
        <v>46</v>
      </c>
      <c r="W17" s="28">
        <f>VLOOKUP(B17,'[5]Summary Sheet'!$C:$H,6,)</f>
        <v>16</v>
      </c>
      <c r="X17" s="28">
        <f>VLOOKUP(B17,'[5]Summary Sheet'!$C:$I,7,)</f>
        <v>13</v>
      </c>
      <c r="Y17" s="28">
        <f>VLOOKUP(B17,'[5]Summary Sheet'!$C:$J,8,)</f>
        <v>108</v>
      </c>
      <c r="Z17" s="28">
        <f>VLOOKUP(B17,'[5]Summary Sheet'!$C:$K,9,)</f>
        <v>170</v>
      </c>
      <c r="AA17" s="35">
        <f>VLOOKUP(B17,'[5]Summary Sheet'!$C:$L,10,)</f>
        <v>23</v>
      </c>
      <c r="AB17" s="35">
        <f>VLOOKUP(B17,'[5]Summary Sheet'!$C:$M,11,)</f>
        <v>47</v>
      </c>
      <c r="AC17" s="29">
        <f>VLOOKUP(B17,'[3]Summary Sheet'!$C:$T,18,)</f>
        <v>56</v>
      </c>
      <c r="AD17" s="29">
        <v>0</v>
      </c>
      <c r="AE17" s="29">
        <v>1</v>
      </c>
      <c r="AF17" s="29">
        <f t="shared" si="3"/>
        <v>1</v>
      </c>
      <c r="AG17" s="29">
        <f>VLOOKUP(B17,'[6]OMC wise Summery'!$B:$X,23,)</f>
        <v>2</v>
      </c>
      <c r="AH17" s="29">
        <f>VLOOKUP(B17,'[6]OMC wise Summery'!$B:$Y,24,)</f>
        <v>54</v>
      </c>
      <c r="AI17" s="30">
        <f>VLOOKUP(B17,'[6]OMC wise Summery'!$B:$Z,25,)</f>
        <v>43.2</v>
      </c>
      <c r="AJ17" s="29">
        <f>VLOOKUP(B17,'[6]OMC wise Summery'!$B:$AA,26,)</f>
        <v>15</v>
      </c>
      <c r="AK17" s="29">
        <f>VLOOKUP(B17,'[6]OMC wise Summery'!$B:$AB,27,)</f>
        <v>9</v>
      </c>
      <c r="AL17" s="29">
        <f>VLOOKUP(B17,'[6]OMC wise Summery'!$B:$AC,28,)</f>
        <v>63</v>
      </c>
      <c r="AM17" s="29">
        <f>VLOOKUP(B17,'[6]OMC wise Summery'!$B:$AD,29,)</f>
        <v>139</v>
      </c>
      <c r="AN17" s="30">
        <f>VLOOKUP(B17,'[6]OMC wise Summery'!$B:$AE,30,)</f>
        <v>44.655999999999992</v>
      </c>
      <c r="AO17" s="30">
        <f>VLOOKUP(B17,'[6]OMC wise Summery'!$B:$AF,31,)</f>
        <v>75.170999999999992</v>
      </c>
      <c r="AP17" s="31">
        <f t="shared" si="4"/>
        <v>196</v>
      </c>
      <c r="AQ17" s="32">
        <f t="shared" si="5"/>
        <v>9</v>
      </c>
      <c r="AR17" s="32">
        <f t="shared" si="6"/>
        <v>7</v>
      </c>
      <c r="AS17" s="32">
        <f t="shared" si="7"/>
        <v>16</v>
      </c>
      <c r="AT17" s="32">
        <f t="shared" si="8"/>
        <v>25</v>
      </c>
      <c r="AU17" s="32">
        <f t="shared" si="9"/>
        <v>150</v>
      </c>
      <c r="AV17" s="32">
        <f t="shared" si="10"/>
        <v>95.2</v>
      </c>
      <c r="AW17" s="32">
        <f t="shared" si="11"/>
        <v>40</v>
      </c>
      <c r="AX17" s="32">
        <f t="shared" si="12"/>
        <v>25</v>
      </c>
      <c r="AY17" s="32">
        <f t="shared" si="13"/>
        <v>238</v>
      </c>
      <c r="AZ17" s="32">
        <f t="shared" si="14"/>
        <v>385</v>
      </c>
      <c r="BA17" s="32">
        <f t="shared" si="15"/>
        <v>203.4495714285714</v>
      </c>
      <c r="BB17" s="32">
        <f t="shared" si="16"/>
        <v>308.95614285714282</v>
      </c>
    </row>
    <row r="18" spans="1:54" s="33" customFormat="1" ht="35" customHeight="1" x14ac:dyDescent="0.35">
      <c r="A18" s="23">
        <v>14</v>
      </c>
      <c r="B18" s="24" t="s">
        <v>4</v>
      </c>
      <c r="C18" s="25">
        <f>VLOOKUP(B18,'[1]Summary Sheet'!$C:$D,2,)</f>
        <v>87</v>
      </c>
      <c r="D18" s="25">
        <v>4</v>
      </c>
      <c r="E18" s="25">
        <v>3</v>
      </c>
      <c r="F18" s="26">
        <f t="shared" si="1"/>
        <v>7</v>
      </c>
      <c r="G18" s="26">
        <f>VLOOKUP(B18,'[4]OMC wise Summery'!$B:$D,3,)</f>
        <v>3</v>
      </c>
      <c r="H18" s="26">
        <f>VLOOKUP(B18,'[4]OMC wise Summery'!$B:$E,4,)</f>
        <v>47.000000000000007</v>
      </c>
      <c r="I18" s="26">
        <f>VLOOKUP(B18,'[4]OMC wise Summery'!$B:$F,5,)</f>
        <v>4</v>
      </c>
      <c r="J18" s="26">
        <f>VLOOKUP(B18,'[4]OMC wise Summery'!$B:$G,6,)</f>
        <v>14</v>
      </c>
      <c r="K18" s="26">
        <f>VLOOKUP(B18,'[4]OMC wise Summery'!$B:$H,7,)</f>
        <v>1</v>
      </c>
      <c r="L18" s="27">
        <f>VLOOKUP(B18,'[4]OMC wise Summery'!$B:$I,8,)</f>
        <v>104</v>
      </c>
      <c r="M18" s="27">
        <f>VLOOKUP(B18,'[4]OMC wise Summery'!$B:$J,9,)</f>
        <v>109</v>
      </c>
      <c r="N18" s="27">
        <f>VLOOKUP(B18,'[4]OMC wise Summery'!$B:$K,10,)</f>
        <v>153.91442857142854</v>
      </c>
      <c r="O18" s="27">
        <f>VLOOKUP(B18,'[4]OMC wise Summery'!$B:$L,11,)</f>
        <v>268.27357142857136</v>
      </c>
      <c r="P18" s="28">
        <f>VLOOKUP(B18,'[2]Summary Sheet'!$C:$L,10,)</f>
        <v>81</v>
      </c>
      <c r="Q18" s="28">
        <v>14</v>
      </c>
      <c r="R18" s="28">
        <v>3</v>
      </c>
      <c r="S18" s="28">
        <f t="shared" si="2"/>
        <v>17</v>
      </c>
      <c r="T18" s="28">
        <f>VLOOKUP(B18,'[5]Summary Sheet'!$C:$E,3,)</f>
        <v>9</v>
      </c>
      <c r="U18" s="28">
        <f>VLOOKUP(B18,'[5]Summary Sheet'!$C:$F,4,)</f>
        <v>57</v>
      </c>
      <c r="V18" s="28">
        <f>VLOOKUP(B18,'[5]Summary Sheet'!$C:$G,5,)</f>
        <v>55</v>
      </c>
      <c r="W18" s="28">
        <f>VLOOKUP(B18,'[5]Summary Sheet'!$C:$H,6,)</f>
        <v>9</v>
      </c>
      <c r="X18" s="28">
        <f>VLOOKUP(B18,'[5]Summary Sheet'!$C:$I,7,)</f>
        <v>6</v>
      </c>
      <c r="Y18" s="28">
        <f>VLOOKUP(B18,'[5]Summary Sheet'!$C:$J,8,)</f>
        <v>67</v>
      </c>
      <c r="Z18" s="28">
        <f>VLOOKUP(B18,'[5]Summary Sheet'!$C:$K,9,)</f>
        <v>87</v>
      </c>
      <c r="AA18" s="35">
        <f>VLOOKUP(B18,'[5]Summary Sheet'!$C:$L,10,)</f>
        <v>15</v>
      </c>
      <c r="AB18" s="35">
        <f>VLOOKUP(B18,'[5]Summary Sheet'!$C:$M,11,)</f>
        <v>36</v>
      </c>
      <c r="AC18" s="29">
        <f>VLOOKUP(B18,'[3]Summary Sheet'!$C:$T,18,)</f>
        <v>46</v>
      </c>
      <c r="AD18" s="29">
        <v>1</v>
      </c>
      <c r="AE18" s="29">
        <v>0</v>
      </c>
      <c r="AF18" s="29">
        <f t="shared" si="3"/>
        <v>1</v>
      </c>
      <c r="AG18" s="29">
        <f>VLOOKUP(B18,'[6]OMC wise Summery'!$B:$X,23,)</f>
        <v>4</v>
      </c>
      <c r="AH18" s="29">
        <f>VLOOKUP(B18,'[6]OMC wise Summery'!$B:$Y,24,)</f>
        <v>58</v>
      </c>
      <c r="AI18" s="30">
        <f>VLOOKUP(B18,'[6]OMC wise Summery'!$B:$Z,25,)</f>
        <v>46.400000000000006</v>
      </c>
      <c r="AJ18" s="29">
        <f>VLOOKUP(B18,'[6]OMC wise Summery'!$B:$AA,26,)</f>
        <v>13</v>
      </c>
      <c r="AK18" s="29">
        <f>VLOOKUP(B18,'[6]OMC wise Summery'!$B:$AB,27,)</f>
        <v>7</v>
      </c>
      <c r="AL18" s="29">
        <f>VLOOKUP(B18,'[6]OMC wise Summery'!$B:$AC,28,)</f>
        <v>60</v>
      </c>
      <c r="AM18" s="29">
        <f>VLOOKUP(B18,'[6]OMC wise Summery'!$B:$AD,29,)</f>
        <v>122</v>
      </c>
      <c r="AN18" s="30">
        <f>VLOOKUP(B18,'[6]OMC wise Summery'!$B:$AE,30,)</f>
        <v>35.036000000000001</v>
      </c>
      <c r="AO18" s="30">
        <f>VLOOKUP(B18,'[6]OMC wise Summery'!$B:$AF,31,)</f>
        <v>50.024000000000001</v>
      </c>
      <c r="AP18" s="31">
        <f t="shared" si="4"/>
        <v>214</v>
      </c>
      <c r="AQ18" s="32">
        <f t="shared" si="5"/>
        <v>19</v>
      </c>
      <c r="AR18" s="32">
        <f t="shared" si="6"/>
        <v>6</v>
      </c>
      <c r="AS18" s="32">
        <f t="shared" si="7"/>
        <v>25</v>
      </c>
      <c r="AT18" s="32">
        <f t="shared" si="8"/>
        <v>20</v>
      </c>
      <c r="AU18" s="32">
        <f t="shared" si="9"/>
        <v>162</v>
      </c>
      <c r="AV18" s="32">
        <f t="shared" si="10"/>
        <v>105.4</v>
      </c>
      <c r="AW18" s="32">
        <f t="shared" si="11"/>
        <v>36</v>
      </c>
      <c r="AX18" s="32">
        <f t="shared" si="12"/>
        <v>14</v>
      </c>
      <c r="AY18" s="32">
        <f t="shared" si="13"/>
        <v>231</v>
      </c>
      <c r="AZ18" s="32">
        <f t="shared" si="14"/>
        <v>318</v>
      </c>
      <c r="BA18" s="32">
        <f t="shared" si="15"/>
        <v>203.95042857142855</v>
      </c>
      <c r="BB18" s="32">
        <f t="shared" si="16"/>
        <v>354.29757142857136</v>
      </c>
    </row>
    <row r="19" spans="1:54" s="33" customFormat="1" ht="35" customHeight="1" x14ac:dyDescent="0.35">
      <c r="A19" s="23">
        <v>15</v>
      </c>
      <c r="B19" s="24" t="s">
        <v>87</v>
      </c>
      <c r="C19" s="25">
        <f>VLOOKUP(B19,'[1]Summary Sheet'!$C:$D,2,)</f>
        <v>84</v>
      </c>
      <c r="D19" s="25">
        <v>0</v>
      </c>
      <c r="E19" s="25">
        <v>0</v>
      </c>
      <c r="F19" s="26">
        <f t="shared" si="1"/>
        <v>0</v>
      </c>
      <c r="G19" s="26">
        <f>VLOOKUP(B19,'[4]OMC wise Summery'!$B:$D,3,)</f>
        <v>4</v>
      </c>
      <c r="H19" s="26">
        <f>VLOOKUP(B19,'[4]OMC wise Summery'!$B:$E,4,)</f>
        <v>30</v>
      </c>
      <c r="I19" s="26">
        <f>VLOOKUP(B19,'[4]OMC wise Summery'!$B:$F,5,)</f>
        <v>1</v>
      </c>
      <c r="J19" s="26">
        <f>VLOOKUP(B19,'[4]OMC wise Summery'!$B:$G,6,)</f>
        <v>11</v>
      </c>
      <c r="K19" s="26">
        <f>VLOOKUP(B19,'[4]OMC wise Summery'!$B:$H,7,)</f>
        <v>4</v>
      </c>
      <c r="L19" s="27">
        <f>VLOOKUP(B19,'[4]OMC wise Summery'!$B:$I,8,)</f>
        <v>61</v>
      </c>
      <c r="M19" s="27">
        <f>VLOOKUP(B19,'[4]OMC wise Summery'!$B:$J,9,)</f>
        <v>93</v>
      </c>
      <c r="N19" s="27">
        <f>VLOOKUP(B19,'[4]OMC wise Summery'!$B:$K,10,)</f>
        <v>123.90742857142851</v>
      </c>
      <c r="O19" s="27">
        <f>VLOOKUP(B19,'[4]OMC wise Summery'!$B:$L,11,)</f>
        <v>170.00600000000003</v>
      </c>
      <c r="P19" s="28">
        <f>VLOOKUP(B19,'[2]Summary Sheet'!$C:$L,10,)</f>
        <v>47</v>
      </c>
      <c r="Q19" s="28">
        <v>0</v>
      </c>
      <c r="R19" s="28">
        <v>0</v>
      </c>
      <c r="S19" s="28">
        <f t="shared" si="2"/>
        <v>0</v>
      </c>
      <c r="T19" s="28">
        <f>VLOOKUP(B19,'[5]Summary Sheet'!$C:$E,3,)</f>
        <v>6</v>
      </c>
      <c r="U19" s="28">
        <f>VLOOKUP(B19,'[5]Summary Sheet'!$C:$F,4,)</f>
        <v>33</v>
      </c>
      <c r="V19" s="28">
        <f>VLOOKUP(B19,'[5]Summary Sheet'!$C:$G,5,)</f>
        <v>19</v>
      </c>
      <c r="W19" s="28">
        <f>VLOOKUP(B19,'[5]Summary Sheet'!$C:$H,6,)</f>
        <v>19</v>
      </c>
      <c r="X19" s="28">
        <f>VLOOKUP(B19,'[5]Summary Sheet'!$C:$I,7,)</f>
        <v>19</v>
      </c>
      <c r="Y19" s="28">
        <f>VLOOKUP(B19,'[5]Summary Sheet'!$C:$J,8,)</f>
        <v>109</v>
      </c>
      <c r="Z19" s="28">
        <f>VLOOKUP(B19,'[5]Summary Sheet'!$C:$K,9,)</f>
        <v>165</v>
      </c>
      <c r="AA19" s="35">
        <f>VLOOKUP(B19,'[5]Summary Sheet'!$C:$L,10,)</f>
        <v>9</v>
      </c>
      <c r="AB19" s="35">
        <f>VLOOKUP(B19,'[5]Summary Sheet'!$C:$M,11,)</f>
        <v>38</v>
      </c>
      <c r="AC19" s="29">
        <f>VLOOKUP(B19,'[3]Summary Sheet'!$C:$T,18,)</f>
        <v>44</v>
      </c>
      <c r="AD19" s="29">
        <v>0</v>
      </c>
      <c r="AE19" s="29">
        <v>0</v>
      </c>
      <c r="AF19" s="29">
        <f t="shared" si="3"/>
        <v>0</v>
      </c>
      <c r="AG19" s="29">
        <f>VLOOKUP(B19,'[6]OMC wise Summery'!$B:$X,23,)</f>
        <v>3</v>
      </c>
      <c r="AH19" s="29">
        <f>VLOOKUP(B19,'[6]OMC wise Summery'!$B:$Y,24,)</f>
        <v>38</v>
      </c>
      <c r="AI19" s="30">
        <f>VLOOKUP(B19,'[6]OMC wise Summery'!$B:$Z,25,)</f>
        <v>30.400000000000002</v>
      </c>
      <c r="AJ19" s="29">
        <f>VLOOKUP(B19,'[6]OMC wise Summery'!$B:$AA,26,)</f>
        <v>11</v>
      </c>
      <c r="AK19" s="29">
        <f>VLOOKUP(B19,'[6]OMC wise Summery'!$B:$AB,27,)</f>
        <v>6</v>
      </c>
      <c r="AL19" s="29">
        <f>VLOOKUP(B19,'[6]OMC wise Summery'!$B:$AC,28,)</f>
        <v>51</v>
      </c>
      <c r="AM19" s="29">
        <f>VLOOKUP(B19,'[6]OMC wise Summery'!$B:$AD,29,)</f>
        <v>97</v>
      </c>
      <c r="AN19" s="30">
        <f>VLOOKUP(B19,'[6]OMC wise Summery'!$B:$AE,30,)</f>
        <v>26.743999999999996</v>
      </c>
      <c r="AO19" s="30">
        <f>VLOOKUP(B19,'[6]OMC wise Summery'!$B:$AF,31,)</f>
        <v>68.021999999999991</v>
      </c>
      <c r="AP19" s="31">
        <f t="shared" si="4"/>
        <v>175</v>
      </c>
      <c r="AQ19" s="32">
        <f t="shared" si="5"/>
        <v>0</v>
      </c>
      <c r="AR19" s="32">
        <f t="shared" si="6"/>
        <v>0</v>
      </c>
      <c r="AS19" s="32">
        <f t="shared" si="7"/>
        <v>0</v>
      </c>
      <c r="AT19" s="32">
        <f t="shared" si="8"/>
        <v>9</v>
      </c>
      <c r="AU19" s="32">
        <f t="shared" si="9"/>
        <v>101</v>
      </c>
      <c r="AV19" s="32">
        <f t="shared" si="10"/>
        <v>50.400000000000006</v>
      </c>
      <c r="AW19" s="32">
        <f t="shared" si="11"/>
        <v>41</v>
      </c>
      <c r="AX19" s="32">
        <f t="shared" si="12"/>
        <v>29</v>
      </c>
      <c r="AY19" s="32">
        <f t="shared" si="13"/>
        <v>221</v>
      </c>
      <c r="AZ19" s="32">
        <f t="shared" si="14"/>
        <v>355</v>
      </c>
      <c r="BA19" s="32">
        <f t="shared" si="15"/>
        <v>159.65142857142851</v>
      </c>
      <c r="BB19" s="32">
        <f t="shared" si="16"/>
        <v>276.02800000000002</v>
      </c>
    </row>
    <row r="20" spans="1:54" s="33" customFormat="1" ht="35" customHeight="1" x14ac:dyDescent="0.35">
      <c r="A20" s="23">
        <v>16</v>
      </c>
      <c r="B20" s="24" t="s">
        <v>16</v>
      </c>
      <c r="C20" s="25">
        <f>VLOOKUP(B20,'[1]Summary Sheet'!$C:$D,2,)</f>
        <v>63</v>
      </c>
      <c r="D20" s="25">
        <v>9</v>
      </c>
      <c r="E20" s="25">
        <v>0</v>
      </c>
      <c r="F20" s="26">
        <f t="shared" si="1"/>
        <v>9</v>
      </c>
      <c r="G20" s="26">
        <f>VLOOKUP(B20,'[4]OMC wise Summery'!$B:$D,3,)</f>
        <v>1</v>
      </c>
      <c r="H20" s="26">
        <f>VLOOKUP(B20,'[4]OMC wise Summery'!$B:$E,4,)</f>
        <v>20</v>
      </c>
      <c r="I20" s="26">
        <f>VLOOKUP(B20,'[4]OMC wise Summery'!$B:$F,5,)</f>
        <v>0</v>
      </c>
      <c r="J20" s="26">
        <f>VLOOKUP(B20,'[4]OMC wise Summery'!$B:$G,6,)</f>
        <v>7</v>
      </c>
      <c r="K20" s="26">
        <f>VLOOKUP(B20,'[4]OMC wise Summery'!$B:$H,7,)</f>
        <v>2</v>
      </c>
      <c r="L20" s="27">
        <f>VLOOKUP(B20,'[4]OMC wise Summery'!$B:$I,8,)</f>
        <v>40</v>
      </c>
      <c r="M20" s="27">
        <f>VLOOKUP(B20,'[4]OMC wise Summery'!$B:$J,9,)</f>
        <v>58</v>
      </c>
      <c r="N20" s="27">
        <f>VLOOKUP(B20,'[4]OMC wise Summery'!$B:$K,10,)</f>
        <v>57.753714285714288</v>
      </c>
      <c r="O20" s="27">
        <f>VLOOKUP(B20,'[4]OMC wise Summery'!$B:$L,11,)</f>
        <v>84.715428571428546</v>
      </c>
      <c r="P20" s="28">
        <f>VLOOKUP(B20,'[2]Summary Sheet'!$C:$L,10,)</f>
        <v>39</v>
      </c>
      <c r="Q20" s="28">
        <v>13</v>
      </c>
      <c r="R20" s="28">
        <v>0</v>
      </c>
      <c r="S20" s="28">
        <f t="shared" si="2"/>
        <v>13</v>
      </c>
      <c r="T20" s="28">
        <f>VLOOKUP(B20,'[5]Summary Sheet'!$C:$E,3,)</f>
        <v>7</v>
      </c>
      <c r="U20" s="28">
        <f>VLOOKUP(B20,'[5]Summary Sheet'!$C:$F,4,)</f>
        <v>29</v>
      </c>
      <c r="V20" s="28">
        <f>VLOOKUP(B20,'[5]Summary Sheet'!$C:$G,5,)</f>
        <v>29</v>
      </c>
      <c r="W20" s="28">
        <f>VLOOKUP(B20,'[5]Summary Sheet'!$C:$H,6,)</f>
        <v>14</v>
      </c>
      <c r="X20" s="28">
        <f>VLOOKUP(B20,'[5]Summary Sheet'!$C:$I,7,)</f>
        <v>7</v>
      </c>
      <c r="Y20" s="28">
        <f>VLOOKUP(B20,'[5]Summary Sheet'!$C:$J,8,)</f>
        <v>90</v>
      </c>
      <c r="Z20" s="28">
        <f>VLOOKUP(B20,'[5]Summary Sheet'!$C:$K,9,)</f>
        <v>136</v>
      </c>
      <c r="AA20" s="35">
        <f>VLOOKUP(B20,'[5]Summary Sheet'!$C:$L,10,)</f>
        <v>18</v>
      </c>
      <c r="AB20" s="35">
        <f>VLOOKUP(B20,'[5]Summary Sheet'!$C:$M,11,)</f>
        <v>20</v>
      </c>
      <c r="AC20" s="29">
        <f>VLOOKUP(B20,'[3]Summary Sheet'!$C:$T,18,)</f>
        <v>42</v>
      </c>
      <c r="AD20" s="29">
        <v>6</v>
      </c>
      <c r="AE20" s="29">
        <v>2</v>
      </c>
      <c r="AF20" s="29">
        <f t="shared" si="3"/>
        <v>8</v>
      </c>
      <c r="AG20" s="29">
        <f>VLOOKUP(B20,'[6]OMC wise Summery'!$B:$X,23,)</f>
        <v>2</v>
      </c>
      <c r="AH20" s="29">
        <f>VLOOKUP(B20,'[6]OMC wise Summery'!$B:$Y,24,)</f>
        <v>39</v>
      </c>
      <c r="AI20" s="30">
        <f>VLOOKUP(B20,'[6]OMC wise Summery'!$B:$Z,25,)</f>
        <v>31.200000000000003</v>
      </c>
      <c r="AJ20" s="29">
        <f>VLOOKUP(B20,'[6]OMC wise Summery'!$B:$AA,26,)</f>
        <v>9</v>
      </c>
      <c r="AK20" s="29">
        <f>VLOOKUP(B20,'[6]OMC wise Summery'!$B:$AB,27,)</f>
        <v>4</v>
      </c>
      <c r="AL20" s="29">
        <f>VLOOKUP(B20,'[6]OMC wise Summery'!$B:$AC,28,)</f>
        <v>37</v>
      </c>
      <c r="AM20" s="29">
        <f>VLOOKUP(B20,'[6]OMC wise Summery'!$B:$AD,29,)</f>
        <v>81</v>
      </c>
      <c r="AN20" s="30">
        <f>VLOOKUP(B20,'[6]OMC wise Summery'!$B:$AE,30,)</f>
        <v>21.364000000000001</v>
      </c>
      <c r="AO20" s="30">
        <f>VLOOKUP(B20,'[6]OMC wise Summery'!$B:$AF,31,)</f>
        <v>61.512000000000015</v>
      </c>
      <c r="AP20" s="31">
        <f t="shared" si="4"/>
        <v>144</v>
      </c>
      <c r="AQ20" s="32">
        <f t="shared" si="5"/>
        <v>28</v>
      </c>
      <c r="AR20" s="32">
        <f t="shared" si="6"/>
        <v>2</v>
      </c>
      <c r="AS20" s="32">
        <f t="shared" si="7"/>
        <v>30</v>
      </c>
      <c r="AT20" s="32">
        <f t="shared" si="8"/>
        <v>18</v>
      </c>
      <c r="AU20" s="32">
        <f t="shared" si="9"/>
        <v>88</v>
      </c>
      <c r="AV20" s="32">
        <f t="shared" si="10"/>
        <v>60.2</v>
      </c>
      <c r="AW20" s="32">
        <f t="shared" si="11"/>
        <v>30</v>
      </c>
      <c r="AX20" s="32">
        <f t="shared" si="12"/>
        <v>13</v>
      </c>
      <c r="AY20" s="32">
        <f t="shared" si="13"/>
        <v>167</v>
      </c>
      <c r="AZ20" s="32">
        <f t="shared" si="14"/>
        <v>275</v>
      </c>
      <c r="BA20" s="32">
        <f t="shared" si="15"/>
        <v>97.1177142857143</v>
      </c>
      <c r="BB20" s="32">
        <f t="shared" si="16"/>
        <v>166.22742857142856</v>
      </c>
    </row>
    <row r="21" spans="1:54" s="33" customFormat="1" ht="35" customHeight="1" x14ac:dyDescent="0.35">
      <c r="A21" s="23">
        <v>17</v>
      </c>
      <c r="B21" s="24" t="s">
        <v>2</v>
      </c>
      <c r="C21" s="25">
        <f>VLOOKUP(B21,'[1]Summary Sheet'!$C:$D,2,)</f>
        <v>95</v>
      </c>
      <c r="D21" s="25">
        <v>18</v>
      </c>
      <c r="E21" s="25">
        <v>0</v>
      </c>
      <c r="F21" s="26">
        <f t="shared" si="1"/>
        <v>18</v>
      </c>
      <c r="G21" s="26">
        <f>VLOOKUP(B21,'[4]OMC wise Summery'!$B:$D,3,)</f>
        <v>6</v>
      </c>
      <c r="H21" s="26">
        <f>VLOOKUP(B21,'[4]OMC wise Summery'!$B:$E,4,)</f>
        <v>45.999999999999993</v>
      </c>
      <c r="I21" s="26">
        <f>VLOOKUP(B21,'[4]OMC wise Summery'!$B:$F,5,)</f>
        <v>7</v>
      </c>
      <c r="J21" s="26">
        <f>VLOOKUP(B21,'[4]OMC wise Summery'!$B:$G,6,)</f>
        <v>13</v>
      </c>
      <c r="K21" s="26">
        <f>VLOOKUP(B21,'[4]OMC wise Summery'!$B:$H,7,)</f>
        <v>2</v>
      </c>
      <c r="L21" s="27">
        <f>VLOOKUP(B21,'[4]OMC wise Summery'!$B:$I,8,)</f>
        <v>63</v>
      </c>
      <c r="M21" s="27">
        <f>VLOOKUP(B21,'[4]OMC wise Summery'!$B:$J,9,)</f>
        <v>122</v>
      </c>
      <c r="N21" s="27">
        <f>VLOOKUP(B21,'[4]OMC wise Summery'!$B:$K,10,)</f>
        <v>100.96399999999998</v>
      </c>
      <c r="O21" s="27">
        <f>VLOOKUP(B21,'[4]OMC wise Summery'!$B:$L,11,)</f>
        <v>194.92828571428575</v>
      </c>
      <c r="P21" s="28">
        <f>VLOOKUP(B21,'[2]Summary Sheet'!$C:$L,10,)</f>
        <v>52</v>
      </c>
      <c r="Q21" s="28">
        <v>3</v>
      </c>
      <c r="R21" s="28">
        <v>0</v>
      </c>
      <c r="S21" s="28">
        <f t="shared" si="2"/>
        <v>3</v>
      </c>
      <c r="T21" s="28">
        <f>VLOOKUP(B21,'[5]Summary Sheet'!$C:$E,3,)</f>
        <v>4</v>
      </c>
      <c r="U21" s="28">
        <f>VLOOKUP(B21,'[5]Summary Sheet'!$C:$F,4,)</f>
        <v>58</v>
      </c>
      <c r="V21" s="28">
        <f>VLOOKUP(B21,'[5]Summary Sheet'!$C:$G,5,)</f>
        <v>46</v>
      </c>
      <c r="W21" s="28">
        <f>VLOOKUP(B21,'[5]Summary Sheet'!$C:$H,6,)</f>
        <v>12</v>
      </c>
      <c r="X21" s="28">
        <f>VLOOKUP(B21,'[5]Summary Sheet'!$C:$I,7,)</f>
        <v>10</v>
      </c>
      <c r="Y21" s="28">
        <f>VLOOKUP(B21,'[5]Summary Sheet'!$C:$J,8,)</f>
        <v>67</v>
      </c>
      <c r="Z21" s="28">
        <f>VLOOKUP(B21,'[5]Summary Sheet'!$C:$K,9,)</f>
        <v>85</v>
      </c>
      <c r="AA21" s="35">
        <f>VLOOKUP(B21,'[5]Summary Sheet'!$C:$L,10,)</f>
        <v>6</v>
      </c>
      <c r="AB21" s="35">
        <f>VLOOKUP(B21,'[5]Summary Sheet'!$C:$M,11,)</f>
        <v>38</v>
      </c>
      <c r="AC21" s="29">
        <f>VLOOKUP(B21,'[3]Summary Sheet'!$C:$T,18,)</f>
        <v>72</v>
      </c>
      <c r="AD21" s="29">
        <v>1</v>
      </c>
      <c r="AE21" s="29">
        <v>0</v>
      </c>
      <c r="AF21" s="29">
        <f t="shared" si="3"/>
        <v>1</v>
      </c>
      <c r="AG21" s="29">
        <f>VLOOKUP(B21,'[6]OMC wise Summery'!$B:$X,23,)</f>
        <v>1</v>
      </c>
      <c r="AH21" s="29">
        <f>VLOOKUP(B21,'[6]OMC wise Summery'!$B:$Y,24,)</f>
        <v>57</v>
      </c>
      <c r="AI21" s="30">
        <f>VLOOKUP(B21,'[6]OMC wise Summery'!$B:$Z,25,)</f>
        <v>45.6</v>
      </c>
      <c r="AJ21" s="29">
        <f>VLOOKUP(B21,'[6]OMC wise Summery'!$B:$AA,26,)</f>
        <v>32</v>
      </c>
      <c r="AK21" s="29">
        <f>VLOOKUP(B21,'[6]OMC wise Summery'!$B:$AB,27,)</f>
        <v>12</v>
      </c>
      <c r="AL21" s="29">
        <f>VLOOKUP(B21,'[6]OMC wise Summery'!$B:$AC,28,)</f>
        <v>140</v>
      </c>
      <c r="AM21" s="29">
        <f>VLOOKUP(B21,'[6]OMC wise Summery'!$B:$AD,29,)</f>
        <v>298</v>
      </c>
      <c r="AN21" s="30">
        <f>VLOOKUP(B21,'[6]OMC wise Summery'!$B:$AE,30,)</f>
        <v>33.085999999999999</v>
      </c>
      <c r="AO21" s="30">
        <f>VLOOKUP(B21,'[6]OMC wise Summery'!$B:$AF,31,)</f>
        <v>81.656000000000006</v>
      </c>
      <c r="AP21" s="31">
        <f t="shared" si="4"/>
        <v>219</v>
      </c>
      <c r="AQ21" s="32">
        <f t="shared" si="5"/>
        <v>22</v>
      </c>
      <c r="AR21" s="32">
        <f t="shared" si="6"/>
        <v>0</v>
      </c>
      <c r="AS21" s="32">
        <f t="shared" si="7"/>
        <v>22</v>
      </c>
      <c r="AT21" s="32">
        <f t="shared" si="8"/>
        <v>23</v>
      </c>
      <c r="AU21" s="32">
        <f t="shared" si="9"/>
        <v>161</v>
      </c>
      <c r="AV21" s="32">
        <f t="shared" si="10"/>
        <v>98.6</v>
      </c>
      <c r="AW21" s="32">
        <f t="shared" si="11"/>
        <v>57</v>
      </c>
      <c r="AX21" s="32">
        <f t="shared" si="12"/>
        <v>24</v>
      </c>
      <c r="AY21" s="32">
        <f t="shared" si="13"/>
        <v>270</v>
      </c>
      <c r="AZ21" s="32">
        <f t="shared" si="14"/>
        <v>505</v>
      </c>
      <c r="BA21" s="32">
        <f t="shared" si="15"/>
        <v>140.04999999999998</v>
      </c>
      <c r="BB21" s="32">
        <f t="shared" si="16"/>
        <v>314.58428571428578</v>
      </c>
    </row>
    <row r="22" spans="1:54" s="33" customFormat="1" ht="35" customHeight="1" x14ac:dyDescent="0.35">
      <c r="A22" s="23">
        <v>18</v>
      </c>
      <c r="B22" s="34" t="s">
        <v>35</v>
      </c>
      <c r="C22" s="25">
        <f>VLOOKUP(B22,'[1]Summary Sheet'!$C:$D,2,)</f>
        <v>62</v>
      </c>
      <c r="D22" s="25">
        <v>0</v>
      </c>
      <c r="E22" s="25">
        <v>0</v>
      </c>
      <c r="F22" s="26">
        <f t="shared" si="1"/>
        <v>0</v>
      </c>
      <c r="G22" s="26">
        <f>VLOOKUP(B22,'[4]OMC wise Summery'!$B:$D,3,)</f>
        <v>4</v>
      </c>
      <c r="H22" s="26">
        <f>VLOOKUP(B22,'[4]OMC wise Summery'!$B:$E,4,)</f>
        <v>30</v>
      </c>
      <c r="I22" s="26">
        <f>VLOOKUP(B22,'[4]OMC wise Summery'!$B:$F,5,)</f>
        <v>0</v>
      </c>
      <c r="J22" s="26">
        <f>VLOOKUP(B22,'[4]OMC wise Summery'!$B:$G,6,)</f>
        <v>9</v>
      </c>
      <c r="K22" s="26">
        <f>VLOOKUP(B22,'[4]OMC wise Summery'!$B:$H,7,)</f>
        <v>0</v>
      </c>
      <c r="L22" s="27">
        <f>VLOOKUP(B22,'[4]OMC wise Summery'!$B:$I,8,)</f>
        <v>27</v>
      </c>
      <c r="M22" s="27">
        <f>VLOOKUP(B22,'[4]OMC wise Summery'!$B:$J,9,)</f>
        <v>116</v>
      </c>
      <c r="N22" s="27">
        <f>VLOOKUP(B22,'[4]OMC wise Summery'!$B:$K,10,)</f>
        <v>76.085714285714275</v>
      </c>
      <c r="O22" s="27">
        <f>VLOOKUP(B22,'[4]OMC wise Summery'!$B:$L,11,)</f>
        <v>118.76342857142856</v>
      </c>
      <c r="P22" s="28">
        <f>VLOOKUP(B22,'[2]Summary Sheet'!$C:$L,10,)</f>
        <v>81</v>
      </c>
      <c r="Q22" s="28">
        <v>0</v>
      </c>
      <c r="R22" s="28">
        <v>0</v>
      </c>
      <c r="S22" s="28">
        <f t="shared" si="2"/>
        <v>0</v>
      </c>
      <c r="T22" s="28">
        <f>VLOOKUP(B22,'[5]Summary Sheet'!$C:$E,3,)</f>
        <v>17</v>
      </c>
      <c r="U22" s="28">
        <f>VLOOKUP(B22,'[5]Summary Sheet'!$C:$F,4,)</f>
        <v>60</v>
      </c>
      <c r="V22" s="28">
        <f>VLOOKUP(B22,'[5]Summary Sheet'!$C:$G,5,)</f>
        <v>34</v>
      </c>
      <c r="W22" s="28">
        <f>VLOOKUP(B22,'[5]Summary Sheet'!$C:$H,6,)</f>
        <v>17</v>
      </c>
      <c r="X22" s="28">
        <f>VLOOKUP(B22,'[5]Summary Sheet'!$C:$I,7,)</f>
        <v>0</v>
      </c>
      <c r="Y22" s="28">
        <f>VLOOKUP(B22,'[5]Summary Sheet'!$C:$J,8,)</f>
        <v>74</v>
      </c>
      <c r="Z22" s="28">
        <f>VLOOKUP(B22,'[5]Summary Sheet'!$C:$K,9,)</f>
        <v>184</v>
      </c>
      <c r="AA22" s="35">
        <f>VLOOKUP(B22,'[5]Summary Sheet'!$C:$L,10,)</f>
        <v>15.186729999999997</v>
      </c>
      <c r="AB22" s="35">
        <f>VLOOKUP(B22,'[5]Summary Sheet'!$C:$M,11,)</f>
        <v>28.52739</v>
      </c>
      <c r="AC22" s="29">
        <f>VLOOKUP(B22,'[3]Summary Sheet'!$C:$T,18,)</f>
        <v>36</v>
      </c>
      <c r="AD22" s="29">
        <v>1</v>
      </c>
      <c r="AE22" s="29">
        <v>0</v>
      </c>
      <c r="AF22" s="29">
        <f t="shared" si="3"/>
        <v>1</v>
      </c>
      <c r="AG22" s="29">
        <f>VLOOKUP(B22,'[6]OMC wise Summery'!$B:$X,23,)</f>
        <v>2</v>
      </c>
      <c r="AH22" s="29">
        <f>VLOOKUP(B22,'[6]OMC wise Summery'!$B:$Y,24,)</f>
        <v>54</v>
      </c>
      <c r="AI22" s="30">
        <f>VLOOKUP(B22,'[6]OMC wise Summery'!$B:$Z,25,)</f>
        <v>43.2</v>
      </c>
      <c r="AJ22" s="29">
        <f>VLOOKUP(B22,'[6]OMC wise Summery'!$B:$AA,26,)</f>
        <v>15</v>
      </c>
      <c r="AK22" s="29">
        <f>VLOOKUP(B22,'[6]OMC wise Summery'!$B:$AB,27,)</f>
        <v>5</v>
      </c>
      <c r="AL22" s="29">
        <f>VLOOKUP(B22,'[6]OMC wise Summery'!$B:$AC,28,)</f>
        <v>72</v>
      </c>
      <c r="AM22" s="29">
        <f>VLOOKUP(B22,'[6]OMC wise Summery'!$B:$AD,29,)</f>
        <v>134</v>
      </c>
      <c r="AN22" s="30">
        <f>VLOOKUP(B22,'[6]OMC wise Summery'!$B:$AE,30,)</f>
        <v>9.0469999999999988</v>
      </c>
      <c r="AO22" s="30">
        <f>VLOOKUP(B22,'[6]OMC wise Summery'!$B:$AF,31,)</f>
        <v>34.635000000000005</v>
      </c>
      <c r="AP22" s="31">
        <f t="shared" si="4"/>
        <v>179</v>
      </c>
      <c r="AQ22" s="32">
        <f t="shared" si="5"/>
        <v>1</v>
      </c>
      <c r="AR22" s="32">
        <f t="shared" si="6"/>
        <v>0</v>
      </c>
      <c r="AS22" s="32">
        <f t="shared" si="7"/>
        <v>1</v>
      </c>
      <c r="AT22" s="32">
        <f t="shared" si="8"/>
        <v>19</v>
      </c>
      <c r="AU22" s="32">
        <f t="shared" si="9"/>
        <v>144</v>
      </c>
      <c r="AV22" s="32">
        <f t="shared" si="10"/>
        <v>77.2</v>
      </c>
      <c r="AW22" s="32">
        <f t="shared" si="11"/>
        <v>41</v>
      </c>
      <c r="AX22" s="32">
        <f t="shared" si="12"/>
        <v>5</v>
      </c>
      <c r="AY22" s="32">
        <f t="shared" si="13"/>
        <v>173</v>
      </c>
      <c r="AZ22" s="32">
        <f t="shared" si="14"/>
        <v>434</v>
      </c>
      <c r="BA22" s="32">
        <f t="shared" si="15"/>
        <v>100.31944428571427</v>
      </c>
      <c r="BB22" s="32">
        <f t="shared" si="16"/>
        <v>181.92581857142858</v>
      </c>
    </row>
    <row r="23" spans="1:54" s="33" customFormat="1" ht="35" customHeight="1" x14ac:dyDescent="0.35">
      <c r="A23" s="23">
        <v>19</v>
      </c>
      <c r="B23" s="24" t="s">
        <v>76</v>
      </c>
      <c r="C23" s="25">
        <f>VLOOKUP(B23,'[1]Summary Sheet'!$C:$D,2,)</f>
        <v>63</v>
      </c>
      <c r="D23" s="25">
        <v>1</v>
      </c>
      <c r="E23" s="25">
        <v>1</v>
      </c>
      <c r="F23" s="26">
        <f t="shared" si="1"/>
        <v>2</v>
      </c>
      <c r="G23" s="26">
        <f>VLOOKUP(B23,'[4]OMC wise Summery'!$B:$D,3,)</f>
        <v>2</v>
      </c>
      <c r="H23" s="26">
        <f>VLOOKUP(B23,'[4]OMC wise Summery'!$B:$E,4,)</f>
        <v>26</v>
      </c>
      <c r="I23" s="26">
        <f>VLOOKUP(B23,'[4]OMC wise Summery'!$B:$F,5,)</f>
        <v>4</v>
      </c>
      <c r="J23" s="26">
        <f>VLOOKUP(B23,'[4]OMC wise Summery'!$B:$G,6,)</f>
        <v>14</v>
      </c>
      <c r="K23" s="26">
        <f>VLOOKUP(B23,'[4]OMC wise Summery'!$B:$H,7,)</f>
        <v>0</v>
      </c>
      <c r="L23" s="27">
        <f>VLOOKUP(B23,'[4]OMC wise Summery'!$B:$I,8,)</f>
        <v>78</v>
      </c>
      <c r="M23" s="27">
        <f>VLOOKUP(B23,'[4]OMC wise Summery'!$B:$J,9,)</f>
        <v>144</v>
      </c>
      <c r="N23" s="27">
        <f>VLOOKUP(B23,'[4]OMC wise Summery'!$B:$K,10,)</f>
        <v>116.64414285714287</v>
      </c>
      <c r="O23" s="27">
        <f>VLOOKUP(B23,'[4]OMC wise Summery'!$B:$L,11,)</f>
        <v>102.20357142857145</v>
      </c>
      <c r="P23" s="28">
        <f>VLOOKUP(B23,'[2]Summary Sheet'!$C:$L,10,)</f>
        <v>62</v>
      </c>
      <c r="Q23" s="28">
        <v>2</v>
      </c>
      <c r="R23" s="28">
        <v>0</v>
      </c>
      <c r="S23" s="28">
        <f t="shared" si="2"/>
        <v>2</v>
      </c>
      <c r="T23" s="28">
        <f>VLOOKUP(B23,'[5]Summary Sheet'!$C:$E,3,)</f>
        <v>4</v>
      </c>
      <c r="U23" s="28">
        <f>VLOOKUP(B23,'[5]Summary Sheet'!$C:$F,4,)</f>
        <v>35</v>
      </c>
      <c r="V23" s="28">
        <f>VLOOKUP(B23,'[5]Summary Sheet'!$C:$G,5,)</f>
        <v>34</v>
      </c>
      <c r="W23" s="28">
        <f>VLOOKUP(B23,'[5]Summary Sheet'!$C:$H,6,)</f>
        <v>9</v>
      </c>
      <c r="X23" s="28">
        <f>VLOOKUP(B23,'[5]Summary Sheet'!$C:$I,7,)</f>
        <v>0</v>
      </c>
      <c r="Y23" s="28">
        <f>VLOOKUP(B23,'[5]Summary Sheet'!$C:$J,8,)</f>
        <v>55</v>
      </c>
      <c r="Z23" s="28">
        <f>VLOOKUP(B23,'[5]Summary Sheet'!$C:$K,9,)</f>
        <v>93</v>
      </c>
      <c r="AA23" s="35">
        <f>VLOOKUP(B23,'[5]Summary Sheet'!$C:$L,10,)</f>
        <v>30.512090000000001</v>
      </c>
      <c r="AB23" s="35">
        <f>VLOOKUP(B23,'[5]Summary Sheet'!$C:$M,11,)</f>
        <v>73.483280000000022</v>
      </c>
      <c r="AC23" s="29">
        <f>VLOOKUP(B23,'[3]Summary Sheet'!$C:$T,18,)</f>
        <v>40</v>
      </c>
      <c r="AD23" s="29">
        <v>0</v>
      </c>
      <c r="AE23" s="29">
        <v>0</v>
      </c>
      <c r="AF23" s="29">
        <f t="shared" si="3"/>
        <v>0</v>
      </c>
      <c r="AG23" s="29">
        <f>VLOOKUP(B23,'[6]OMC wise Summery'!$B:$X,23,)</f>
        <v>6</v>
      </c>
      <c r="AH23" s="29">
        <f>VLOOKUP(B23,'[6]OMC wise Summery'!$B:$Y,24,)</f>
        <v>8</v>
      </c>
      <c r="AI23" s="30">
        <f>VLOOKUP(B23,'[6]OMC wise Summery'!$B:$Z,25,)</f>
        <v>6.4</v>
      </c>
      <c r="AJ23" s="29">
        <f>VLOOKUP(B23,'[6]OMC wise Summery'!$B:$AA,26,)</f>
        <v>8</v>
      </c>
      <c r="AK23" s="29">
        <f>VLOOKUP(B23,'[6]OMC wise Summery'!$B:$AB,27,)</f>
        <v>7</v>
      </c>
      <c r="AL23" s="29">
        <f>VLOOKUP(B23,'[6]OMC wise Summery'!$B:$AC,28,)</f>
        <v>34</v>
      </c>
      <c r="AM23" s="29">
        <f>VLOOKUP(B23,'[6]OMC wise Summery'!$B:$AD,29,)</f>
        <v>72</v>
      </c>
      <c r="AN23" s="30">
        <f>VLOOKUP(B23,'[6]OMC wise Summery'!$B:$AE,30,)</f>
        <v>15.99</v>
      </c>
      <c r="AO23" s="30">
        <f>VLOOKUP(B23,'[6]OMC wise Summery'!$B:$AF,31,)</f>
        <v>34.146000000000001</v>
      </c>
      <c r="AP23" s="31">
        <f t="shared" si="4"/>
        <v>165</v>
      </c>
      <c r="AQ23" s="32">
        <f t="shared" si="5"/>
        <v>3</v>
      </c>
      <c r="AR23" s="32">
        <f t="shared" si="6"/>
        <v>1</v>
      </c>
      <c r="AS23" s="32">
        <f t="shared" si="7"/>
        <v>4</v>
      </c>
      <c r="AT23" s="32">
        <f t="shared" si="8"/>
        <v>12</v>
      </c>
      <c r="AU23" s="32">
        <f t="shared" si="9"/>
        <v>69</v>
      </c>
      <c r="AV23" s="32">
        <f t="shared" si="10"/>
        <v>44.4</v>
      </c>
      <c r="AW23" s="32">
        <f t="shared" si="11"/>
        <v>31</v>
      </c>
      <c r="AX23" s="32">
        <f t="shared" si="12"/>
        <v>7</v>
      </c>
      <c r="AY23" s="32">
        <f t="shared" si="13"/>
        <v>167</v>
      </c>
      <c r="AZ23" s="32">
        <f t="shared" si="14"/>
        <v>309</v>
      </c>
      <c r="BA23" s="32">
        <f t="shared" si="15"/>
        <v>163.14623285714288</v>
      </c>
      <c r="BB23" s="32">
        <f t="shared" si="16"/>
        <v>209.83285142857147</v>
      </c>
    </row>
    <row r="24" spans="1:54" s="33" customFormat="1" ht="35" customHeight="1" x14ac:dyDescent="0.35">
      <c r="A24" s="23">
        <v>20</v>
      </c>
      <c r="B24" s="34" t="s">
        <v>28</v>
      </c>
      <c r="C24" s="25">
        <f>VLOOKUP(B24,'[1]Summary Sheet'!$C:$D,2,)</f>
        <v>85</v>
      </c>
      <c r="D24" s="25">
        <v>13</v>
      </c>
      <c r="E24" s="25">
        <v>0</v>
      </c>
      <c r="F24" s="26">
        <f t="shared" si="1"/>
        <v>13</v>
      </c>
      <c r="G24" s="26">
        <f>VLOOKUP(B24,'[4]OMC wise Summery'!$B:$D,3,)</f>
        <v>3</v>
      </c>
      <c r="H24" s="26">
        <f>VLOOKUP(B24,'[4]OMC wise Summery'!$B:$E,4,)</f>
        <v>37</v>
      </c>
      <c r="I24" s="26">
        <f>VLOOKUP(B24,'[4]OMC wise Summery'!$B:$F,5,)</f>
        <v>7</v>
      </c>
      <c r="J24" s="26">
        <f>VLOOKUP(B24,'[4]OMC wise Summery'!$B:$G,6,)</f>
        <v>5</v>
      </c>
      <c r="K24" s="26">
        <f>VLOOKUP(B24,'[4]OMC wise Summery'!$B:$H,7,)</f>
        <v>0</v>
      </c>
      <c r="L24" s="27">
        <f>VLOOKUP(B24,'[4]OMC wise Summery'!$B:$I,8,)</f>
        <v>14</v>
      </c>
      <c r="M24" s="27">
        <f>VLOOKUP(B24,'[4]OMC wise Summery'!$B:$J,9,)</f>
        <v>44</v>
      </c>
      <c r="N24" s="27">
        <f>VLOOKUP(B24,'[4]OMC wise Summery'!$B:$K,10,)</f>
        <v>114.15300000000003</v>
      </c>
      <c r="O24" s="27">
        <f>VLOOKUP(B24,'[4]OMC wise Summery'!$B:$L,11,)</f>
        <v>206.13185714285711</v>
      </c>
      <c r="P24" s="28">
        <f>VLOOKUP(B24,'[2]Summary Sheet'!$C:$L,10,)</f>
        <v>85</v>
      </c>
      <c r="Q24" s="28">
        <v>12</v>
      </c>
      <c r="R24" s="28">
        <v>0</v>
      </c>
      <c r="S24" s="28">
        <f t="shared" si="2"/>
        <v>12</v>
      </c>
      <c r="T24" s="28">
        <f>VLOOKUP(B24,'[5]Summary Sheet'!$C:$E,3,)</f>
        <v>4</v>
      </c>
      <c r="U24" s="28">
        <f>VLOOKUP(B24,'[5]Summary Sheet'!$C:$F,4,)</f>
        <v>51</v>
      </c>
      <c r="V24" s="28">
        <f>VLOOKUP(B24,'[5]Summary Sheet'!$C:$G,5,)</f>
        <v>28</v>
      </c>
      <c r="W24" s="28">
        <f>VLOOKUP(B24,'[5]Summary Sheet'!$C:$H,6,)</f>
        <v>18</v>
      </c>
      <c r="X24" s="28">
        <f>VLOOKUP(B24,'[5]Summary Sheet'!$C:$I,7,)</f>
        <v>0</v>
      </c>
      <c r="Y24" s="28">
        <f>VLOOKUP(B24,'[5]Summary Sheet'!$C:$J,8,)</f>
        <v>94</v>
      </c>
      <c r="Z24" s="28">
        <f>VLOOKUP(B24,'[5]Summary Sheet'!$C:$K,9,)</f>
        <v>170</v>
      </c>
      <c r="AA24" s="35">
        <f>VLOOKUP(B24,'[5]Summary Sheet'!$C:$L,10,)</f>
        <v>21.086890000000007</v>
      </c>
      <c r="AB24" s="35">
        <f>VLOOKUP(B24,'[5]Summary Sheet'!$C:$M,11,)</f>
        <v>47.129539999999992</v>
      </c>
      <c r="AC24" s="29">
        <f>VLOOKUP(B24,'[3]Summary Sheet'!$C:$T,18,)</f>
        <v>61</v>
      </c>
      <c r="AD24" s="29">
        <v>7</v>
      </c>
      <c r="AE24" s="29">
        <v>0</v>
      </c>
      <c r="AF24" s="29">
        <f t="shared" si="3"/>
        <v>7</v>
      </c>
      <c r="AG24" s="29">
        <f>VLOOKUP(B24,'[6]OMC wise Summery'!$B:$X,23,)</f>
        <v>2</v>
      </c>
      <c r="AH24" s="29">
        <f>VLOOKUP(B24,'[6]OMC wise Summery'!$B:$Y,24,)</f>
        <v>3</v>
      </c>
      <c r="AI24" s="30">
        <f>VLOOKUP(B24,'[6]OMC wise Summery'!$B:$Z,25,)</f>
        <v>2.4000000000000004</v>
      </c>
      <c r="AJ24" s="29">
        <f>VLOOKUP(B24,'[6]OMC wise Summery'!$B:$AA,26,)</f>
        <v>2</v>
      </c>
      <c r="AK24" s="29">
        <f>VLOOKUP(B24,'[6]OMC wise Summery'!$B:$AB,27,)</f>
        <v>1</v>
      </c>
      <c r="AL24" s="29">
        <f>VLOOKUP(B24,'[6]OMC wise Summery'!$B:$AC,28,)</f>
        <v>0</v>
      </c>
      <c r="AM24" s="29">
        <f>VLOOKUP(B24,'[6]OMC wise Summery'!$B:$AD,29,)</f>
        <v>20</v>
      </c>
      <c r="AN24" s="30">
        <f>VLOOKUP(B24,'[6]OMC wise Summery'!$B:$AE,30,)</f>
        <v>18.449000000000002</v>
      </c>
      <c r="AO24" s="30">
        <f>VLOOKUP(B24,'[6]OMC wise Summery'!$B:$AF,31,)</f>
        <v>48.705000000000005</v>
      </c>
      <c r="AP24" s="31">
        <f t="shared" si="4"/>
        <v>231</v>
      </c>
      <c r="AQ24" s="32">
        <f t="shared" si="5"/>
        <v>32</v>
      </c>
      <c r="AR24" s="32">
        <f t="shared" si="6"/>
        <v>0</v>
      </c>
      <c r="AS24" s="32">
        <f t="shared" si="7"/>
        <v>32</v>
      </c>
      <c r="AT24" s="32">
        <f t="shared" si="8"/>
        <v>19</v>
      </c>
      <c r="AU24" s="32">
        <f t="shared" si="9"/>
        <v>91</v>
      </c>
      <c r="AV24" s="32">
        <f t="shared" si="10"/>
        <v>37.4</v>
      </c>
      <c r="AW24" s="32">
        <f t="shared" si="11"/>
        <v>25</v>
      </c>
      <c r="AX24" s="32">
        <f t="shared" si="12"/>
        <v>1</v>
      </c>
      <c r="AY24" s="32">
        <f t="shared" si="13"/>
        <v>108</v>
      </c>
      <c r="AZ24" s="32">
        <f t="shared" si="14"/>
        <v>234</v>
      </c>
      <c r="BA24" s="32">
        <f t="shared" si="15"/>
        <v>153.68889000000004</v>
      </c>
      <c r="BB24" s="32">
        <f t="shared" si="16"/>
        <v>301.96639714285709</v>
      </c>
    </row>
    <row r="25" spans="1:54" s="33" customFormat="1" ht="35" customHeight="1" x14ac:dyDescent="0.35">
      <c r="A25" s="23">
        <v>21</v>
      </c>
      <c r="B25" s="34" t="s">
        <v>23</v>
      </c>
      <c r="C25" s="25">
        <f>VLOOKUP(B25,'[1]Summary Sheet'!$C:$D,2,)</f>
        <v>110</v>
      </c>
      <c r="D25" s="25">
        <v>7</v>
      </c>
      <c r="E25" s="25">
        <v>0</v>
      </c>
      <c r="F25" s="26">
        <f t="shared" si="1"/>
        <v>7</v>
      </c>
      <c r="G25" s="26">
        <f>VLOOKUP(B25,'[4]OMC wise Summery'!$B:$D,3,)</f>
        <v>2</v>
      </c>
      <c r="H25" s="26">
        <f>VLOOKUP(B25,'[4]OMC wise Summery'!$B:$E,4,)</f>
        <v>49</v>
      </c>
      <c r="I25" s="26">
        <f>VLOOKUP(B25,'[4]OMC wise Summery'!$B:$F,5,)</f>
        <v>5</v>
      </c>
      <c r="J25" s="26">
        <f>VLOOKUP(B25,'[4]OMC wise Summery'!$B:$G,6,)</f>
        <v>19</v>
      </c>
      <c r="K25" s="26">
        <f>VLOOKUP(B25,'[4]OMC wise Summery'!$B:$H,7,)</f>
        <v>0</v>
      </c>
      <c r="L25" s="27">
        <f>VLOOKUP(B25,'[4]OMC wise Summery'!$B:$I,8,)</f>
        <v>92</v>
      </c>
      <c r="M25" s="27">
        <f>VLOOKUP(B25,'[4]OMC wise Summery'!$B:$J,9,)</f>
        <v>200</v>
      </c>
      <c r="N25" s="27">
        <f>VLOOKUP(B25,'[4]OMC wise Summery'!$B:$K,10,)</f>
        <v>123.03828571428573</v>
      </c>
      <c r="O25" s="27">
        <f>VLOOKUP(B25,'[4]OMC wise Summery'!$B:$L,11,)</f>
        <v>180.55442857142859</v>
      </c>
      <c r="P25" s="28">
        <f>VLOOKUP(B25,'[2]Summary Sheet'!$C:$L,10,)</f>
        <v>65</v>
      </c>
      <c r="Q25" s="28">
        <v>2</v>
      </c>
      <c r="R25" s="28">
        <v>1</v>
      </c>
      <c r="S25" s="28">
        <f t="shared" si="2"/>
        <v>3</v>
      </c>
      <c r="T25" s="28">
        <f>VLOOKUP(B25,'[5]Summary Sheet'!$C:$E,3,)</f>
        <v>12</v>
      </c>
      <c r="U25" s="28">
        <f>VLOOKUP(B25,'[5]Summary Sheet'!$C:$F,4,)</f>
        <v>39</v>
      </c>
      <c r="V25" s="28">
        <f>VLOOKUP(B25,'[5]Summary Sheet'!$C:$G,5,)</f>
        <v>26</v>
      </c>
      <c r="W25" s="28">
        <f>VLOOKUP(B25,'[5]Summary Sheet'!$C:$H,6,)</f>
        <v>10</v>
      </c>
      <c r="X25" s="28">
        <f>VLOOKUP(B25,'[5]Summary Sheet'!$C:$I,7,)</f>
        <v>0</v>
      </c>
      <c r="Y25" s="28">
        <f>VLOOKUP(B25,'[5]Summary Sheet'!$C:$J,8,)</f>
        <v>70</v>
      </c>
      <c r="Z25" s="28">
        <f>VLOOKUP(B25,'[5]Summary Sheet'!$C:$K,9,)</f>
        <v>87</v>
      </c>
      <c r="AA25" s="35">
        <f>VLOOKUP(B25,'[5]Summary Sheet'!$C:$L,10,)</f>
        <v>18.131819999999994</v>
      </c>
      <c r="AB25" s="35">
        <f>VLOOKUP(B25,'[5]Summary Sheet'!$C:$M,11,)</f>
        <v>27.773910000000001</v>
      </c>
      <c r="AC25" s="29">
        <f>VLOOKUP(B25,'[3]Summary Sheet'!$C:$T,18,)</f>
        <v>37</v>
      </c>
      <c r="AD25" s="29">
        <v>2</v>
      </c>
      <c r="AE25" s="29">
        <v>0</v>
      </c>
      <c r="AF25" s="29">
        <f t="shared" si="3"/>
        <v>2</v>
      </c>
      <c r="AG25" s="29">
        <f>VLOOKUP(B25,'[6]OMC wise Summery'!$B:$X,23,)</f>
        <v>3</v>
      </c>
      <c r="AH25" s="29">
        <f>VLOOKUP(B25,'[6]OMC wise Summery'!$B:$Y,24,)</f>
        <v>20</v>
      </c>
      <c r="AI25" s="30">
        <f>VLOOKUP(B25,'[6]OMC wise Summery'!$B:$Z,25,)</f>
        <v>16</v>
      </c>
      <c r="AJ25" s="29">
        <f>VLOOKUP(B25,'[6]OMC wise Summery'!$B:$AA,26,)</f>
        <v>17</v>
      </c>
      <c r="AK25" s="29">
        <f>VLOOKUP(B25,'[6]OMC wise Summery'!$B:$AB,27,)</f>
        <v>8</v>
      </c>
      <c r="AL25" s="29">
        <f>VLOOKUP(B25,'[6]OMC wise Summery'!$B:$AC,28,)</f>
        <v>54</v>
      </c>
      <c r="AM25" s="29">
        <f>VLOOKUP(B25,'[6]OMC wise Summery'!$B:$AD,29,)</f>
        <v>180</v>
      </c>
      <c r="AN25" s="30">
        <f>VLOOKUP(B25,'[6]OMC wise Summery'!$B:$AE,30,)</f>
        <v>22.604999999999997</v>
      </c>
      <c r="AO25" s="30">
        <f>VLOOKUP(B25,'[6]OMC wise Summery'!$B:$AF,31,)</f>
        <v>33.905000000000001</v>
      </c>
      <c r="AP25" s="31">
        <f t="shared" si="4"/>
        <v>212</v>
      </c>
      <c r="AQ25" s="32">
        <f t="shared" si="5"/>
        <v>11</v>
      </c>
      <c r="AR25" s="32">
        <f t="shared" si="6"/>
        <v>1</v>
      </c>
      <c r="AS25" s="32">
        <f t="shared" si="7"/>
        <v>12</v>
      </c>
      <c r="AT25" s="32">
        <f t="shared" si="8"/>
        <v>22</v>
      </c>
      <c r="AU25" s="32">
        <f t="shared" si="9"/>
        <v>108</v>
      </c>
      <c r="AV25" s="32">
        <f t="shared" si="10"/>
        <v>47</v>
      </c>
      <c r="AW25" s="32">
        <f t="shared" si="11"/>
        <v>46</v>
      </c>
      <c r="AX25" s="32">
        <f t="shared" si="12"/>
        <v>8</v>
      </c>
      <c r="AY25" s="32">
        <f t="shared" si="13"/>
        <v>216</v>
      </c>
      <c r="AZ25" s="32">
        <f t="shared" si="14"/>
        <v>467</v>
      </c>
      <c r="BA25" s="32">
        <f t="shared" si="15"/>
        <v>163.77510571428573</v>
      </c>
      <c r="BB25" s="32">
        <f t="shared" si="16"/>
        <v>242.23333857142859</v>
      </c>
    </row>
    <row r="26" spans="1:54" s="33" customFormat="1" ht="35" customHeight="1" x14ac:dyDescent="0.35">
      <c r="A26" s="23">
        <v>22</v>
      </c>
      <c r="B26" s="34" t="s">
        <v>36</v>
      </c>
      <c r="C26" s="25">
        <f>VLOOKUP(B26,'[1]Summary Sheet'!$C:$D,2,)</f>
        <v>100</v>
      </c>
      <c r="D26" s="25">
        <v>0</v>
      </c>
      <c r="E26" s="25">
        <v>3</v>
      </c>
      <c r="F26" s="26">
        <f t="shared" si="1"/>
        <v>3</v>
      </c>
      <c r="G26" s="26">
        <f>VLOOKUP(B26,'[4]OMC wise Summery'!$B:$D,3,)</f>
        <v>4</v>
      </c>
      <c r="H26" s="26">
        <f>VLOOKUP(B26,'[4]OMC wise Summery'!$B:$E,4,)</f>
        <v>52.000000000000014</v>
      </c>
      <c r="I26" s="26">
        <f>VLOOKUP(B26,'[4]OMC wise Summery'!$B:$F,5,)</f>
        <v>6</v>
      </c>
      <c r="J26" s="26">
        <f>VLOOKUP(B26,'[4]OMC wise Summery'!$B:$G,6,)</f>
        <v>0</v>
      </c>
      <c r="K26" s="26">
        <f>VLOOKUP(B26,'[4]OMC wise Summery'!$B:$H,7,)</f>
        <v>0</v>
      </c>
      <c r="L26" s="27">
        <f>VLOOKUP(B26,'[4]OMC wise Summery'!$B:$I,8,)</f>
        <v>0</v>
      </c>
      <c r="M26" s="27">
        <f>VLOOKUP(B26,'[4]OMC wise Summery'!$B:$J,9,)</f>
        <v>0</v>
      </c>
      <c r="N26" s="27">
        <f>VLOOKUP(B26,'[4]OMC wise Summery'!$B:$K,10,)</f>
        <v>88.578857142857146</v>
      </c>
      <c r="O26" s="27">
        <f>VLOOKUP(B26,'[4]OMC wise Summery'!$B:$L,11,)</f>
        <v>232.71185714285713</v>
      </c>
      <c r="P26" s="28">
        <f>VLOOKUP(B26,'[2]Summary Sheet'!$C:$L,10,)</f>
        <v>86</v>
      </c>
      <c r="Q26" s="28">
        <v>4</v>
      </c>
      <c r="R26" s="28">
        <v>0</v>
      </c>
      <c r="S26" s="28">
        <f t="shared" si="2"/>
        <v>4</v>
      </c>
      <c r="T26" s="28">
        <f>VLOOKUP(B26,'[5]Summary Sheet'!$C:$E,3,)</f>
        <v>4</v>
      </c>
      <c r="U26" s="28">
        <f>VLOOKUP(B26,'[5]Summary Sheet'!$C:$F,4,)</f>
        <v>58</v>
      </c>
      <c r="V26" s="28">
        <f>VLOOKUP(B26,'[5]Summary Sheet'!$C:$G,5,)</f>
        <v>58</v>
      </c>
      <c r="W26" s="28">
        <f>VLOOKUP(B26,'[5]Summary Sheet'!$C:$H,6,)</f>
        <v>22</v>
      </c>
      <c r="X26" s="28">
        <f>VLOOKUP(B26,'[5]Summary Sheet'!$C:$I,7,)</f>
        <v>5</v>
      </c>
      <c r="Y26" s="28">
        <f>VLOOKUP(B26,'[5]Summary Sheet'!$C:$J,8,)</f>
        <v>141</v>
      </c>
      <c r="Z26" s="28">
        <f>VLOOKUP(B26,'[5]Summary Sheet'!$C:$K,9,)</f>
        <v>229</v>
      </c>
      <c r="AA26" s="35">
        <f>VLOOKUP(B26,'[5]Summary Sheet'!$C:$L,10,)</f>
        <v>50</v>
      </c>
      <c r="AB26" s="35">
        <f>VLOOKUP(B26,'[5]Summary Sheet'!$C:$M,11,)</f>
        <v>60</v>
      </c>
      <c r="AC26" s="29">
        <f>VLOOKUP(B26,'[3]Summary Sheet'!$C:$T,18,)</f>
        <v>85</v>
      </c>
      <c r="AD26" s="29">
        <v>1</v>
      </c>
      <c r="AE26" s="29">
        <v>3</v>
      </c>
      <c r="AF26" s="29">
        <f t="shared" si="3"/>
        <v>4</v>
      </c>
      <c r="AG26" s="29">
        <f>VLOOKUP(B26,'[6]OMC wise Summery'!$B:$X,23,)</f>
        <v>5</v>
      </c>
      <c r="AH26" s="29">
        <f>VLOOKUP(B26,'[6]OMC wise Summery'!$B:$Y,24,)</f>
        <v>9</v>
      </c>
      <c r="AI26" s="30">
        <f>VLOOKUP(B26,'[6]OMC wise Summery'!$B:$Z,25,)</f>
        <v>7.2</v>
      </c>
      <c r="AJ26" s="29">
        <f>VLOOKUP(B26,'[6]OMC wise Summery'!$B:$AA,26,)</f>
        <v>8</v>
      </c>
      <c r="AK26" s="29">
        <f>VLOOKUP(B26,'[6]OMC wise Summery'!$B:$AB,27,)</f>
        <v>7</v>
      </c>
      <c r="AL26" s="29">
        <f>VLOOKUP(B26,'[6]OMC wise Summery'!$B:$AC,28,)</f>
        <v>41</v>
      </c>
      <c r="AM26" s="29">
        <f>VLOOKUP(B26,'[6]OMC wise Summery'!$B:$AD,29,)</f>
        <v>67</v>
      </c>
      <c r="AN26" s="30">
        <f>VLOOKUP(B26,'[6]OMC wise Summery'!$B:$AE,30,)</f>
        <v>30.431999999999995</v>
      </c>
      <c r="AO26" s="30">
        <f>VLOOKUP(B26,'[6]OMC wise Summery'!$B:$AF,31,)</f>
        <v>68.319000000000003</v>
      </c>
      <c r="AP26" s="31">
        <f t="shared" si="4"/>
        <v>271</v>
      </c>
      <c r="AQ26" s="32">
        <f t="shared" si="5"/>
        <v>5</v>
      </c>
      <c r="AR26" s="32">
        <f t="shared" si="6"/>
        <v>6</v>
      </c>
      <c r="AS26" s="32">
        <f t="shared" si="7"/>
        <v>11</v>
      </c>
      <c r="AT26" s="32">
        <f t="shared" si="8"/>
        <v>12</v>
      </c>
      <c r="AU26" s="32">
        <f t="shared" si="9"/>
        <v>119.00000000000001</v>
      </c>
      <c r="AV26" s="32">
        <f t="shared" si="10"/>
        <v>71.2</v>
      </c>
      <c r="AW26" s="32">
        <f t="shared" si="11"/>
        <v>30</v>
      </c>
      <c r="AX26" s="32">
        <f t="shared" si="12"/>
        <v>12</v>
      </c>
      <c r="AY26" s="32">
        <f t="shared" si="13"/>
        <v>182</v>
      </c>
      <c r="AZ26" s="32">
        <f t="shared" si="14"/>
        <v>296</v>
      </c>
      <c r="BA26" s="32">
        <f t="shared" si="15"/>
        <v>169.01085714285713</v>
      </c>
      <c r="BB26" s="32">
        <f t="shared" si="16"/>
        <v>361.03085714285714</v>
      </c>
    </row>
    <row r="27" spans="1:54" s="33" customFormat="1" ht="35" customHeight="1" x14ac:dyDescent="0.35">
      <c r="A27" s="23">
        <v>23</v>
      </c>
      <c r="B27" s="34" t="s">
        <v>25</v>
      </c>
      <c r="C27" s="25">
        <f>VLOOKUP(B27,'[1]Summary Sheet'!$C:$D,2,)</f>
        <v>91</v>
      </c>
      <c r="D27" s="25">
        <v>8</v>
      </c>
      <c r="E27" s="25">
        <v>0</v>
      </c>
      <c r="F27" s="26">
        <f t="shared" si="1"/>
        <v>8</v>
      </c>
      <c r="G27" s="26">
        <f>VLOOKUP(B27,'[4]OMC wise Summery'!$B:$D,3,)</f>
        <v>1</v>
      </c>
      <c r="H27" s="26">
        <f>VLOOKUP(B27,'[4]OMC wise Summery'!$B:$E,4,)</f>
        <v>57.000000000000007</v>
      </c>
      <c r="I27" s="26">
        <f>VLOOKUP(B27,'[4]OMC wise Summery'!$B:$F,5,)</f>
        <v>2</v>
      </c>
      <c r="J27" s="26">
        <f>VLOOKUP(B27,'[4]OMC wise Summery'!$B:$G,6,)</f>
        <v>33</v>
      </c>
      <c r="K27" s="26">
        <f>VLOOKUP(B27,'[4]OMC wise Summery'!$B:$H,7,)</f>
        <v>0</v>
      </c>
      <c r="L27" s="27">
        <f>VLOOKUP(B27,'[4]OMC wise Summery'!$B:$I,8,)</f>
        <v>216</v>
      </c>
      <c r="M27" s="27">
        <f>VLOOKUP(B27,'[4]OMC wise Summery'!$B:$J,9,)</f>
        <v>322</v>
      </c>
      <c r="N27" s="27">
        <f>VLOOKUP(B27,'[4]OMC wise Summery'!$B:$K,10,)</f>
        <v>145.86357142857139</v>
      </c>
      <c r="O27" s="27">
        <f>VLOOKUP(B27,'[4]OMC wise Summery'!$B:$L,11,)</f>
        <v>215.17971428571434</v>
      </c>
      <c r="P27" s="28">
        <f>VLOOKUP(B27,'[2]Summary Sheet'!$C:$L,10,)</f>
        <v>58</v>
      </c>
      <c r="Q27" s="28">
        <v>5</v>
      </c>
      <c r="R27" s="28">
        <v>0</v>
      </c>
      <c r="S27" s="28">
        <f t="shared" si="2"/>
        <v>5</v>
      </c>
      <c r="T27" s="28">
        <f>VLOOKUP(B27,'[5]Summary Sheet'!$C:$E,3,)</f>
        <v>2</v>
      </c>
      <c r="U27" s="28">
        <f>VLOOKUP(B27,'[5]Summary Sheet'!$C:$F,4,)</f>
        <v>48</v>
      </c>
      <c r="V27" s="28">
        <f>VLOOKUP(B27,'[5]Summary Sheet'!$C:$G,5,)</f>
        <v>48</v>
      </c>
      <c r="W27" s="28">
        <f>VLOOKUP(B27,'[5]Summary Sheet'!$C:$H,6,)</f>
        <v>4</v>
      </c>
      <c r="X27" s="28">
        <f>VLOOKUP(B27,'[5]Summary Sheet'!$C:$I,7,)</f>
        <v>0</v>
      </c>
      <c r="Y27" s="28">
        <f>VLOOKUP(B27,'[5]Summary Sheet'!$C:$J,8,)</f>
        <v>19</v>
      </c>
      <c r="Z27" s="28">
        <f>VLOOKUP(B27,'[5]Summary Sheet'!$C:$K,9,)</f>
        <v>53</v>
      </c>
      <c r="AA27" s="35">
        <f>VLOOKUP(B27,'[5]Summary Sheet'!$C:$L,10,)</f>
        <v>20</v>
      </c>
      <c r="AB27" s="35">
        <f>VLOOKUP(B27,'[5]Summary Sheet'!$C:$M,11,)</f>
        <v>35</v>
      </c>
      <c r="AC27" s="29">
        <f>VLOOKUP(B27,'[3]Summary Sheet'!$C:$T,18,)</f>
        <v>61</v>
      </c>
      <c r="AD27" s="29">
        <v>3</v>
      </c>
      <c r="AE27" s="29">
        <v>0</v>
      </c>
      <c r="AF27" s="29">
        <f t="shared" si="3"/>
        <v>3</v>
      </c>
      <c r="AG27" s="29">
        <f>VLOOKUP(B27,'[6]OMC wise Summery'!$B:$X,23,)</f>
        <v>4</v>
      </c>
      <c r="AH27" s="29">
        <f>VLOOKUP(B27,'[6]OMC wise Summery'!$B:$Y,24,)</f>
        <v>54</v>
      </c>
      <c r="AI27" s="30">
        <f>VLOOKUP(B27,'[6]OMC wise Summery'!$B:$Z,25,)</f>
        <v>43.2</v>
      </c>
      <c r="AJ27" s="29">
        <f>VLOOKUP(B27,'[6]OMC wise Summery'!$B:$AA,26,)</f>
        <v>28</v>
      </c>
      <c r="AK27" s="29">
        <f>VLOOKUP(B27,'[6]OMC wise Summery'!$B:$AB,27,)</f>
        <v>10</v>
      </c>
      <c r="AL27" s="29">
        <f>VLOOKUP(B27,'[6]OMC wise Summery'!$B:$AC,28,)</f>
        <v>140</v>
      </c>
      <c r="AM27" s="29">
        <f>VLOOKUP(B27,'[6]OMC wise Summery'!$B:$AD,29,)</f>
        <v>250</v>
      </c>
      <c r="AN27" s="30">
        <f>VLOOKUP(B27,'[6]OMC wise Summery'!$B:$AE,30,)</f>
        <v>30.038</v>
      </c>
      <c r="AO27" s="30">
        <f>VLOOKUP(B27,'[6]OMC wise Summery'!$B:$AF,31,)</f>
        <v>47.163999999999994</v>
      </c>
      <c r="AP27" s="31">
        <f t="shared" si="4"/>
        <v>210</v>
      </c>
      <c r="AQ27" s="32">
        <f t="shared" si="5"/>
        <v>16</v>
      </c>
      <c r="AR27" s="32">
        <f t="shared" si="6"/>
        <v>0</v>
      </c>
      <c r="AS27" s="32">
        <f t="shared" si="7"/>
        <v>16</v>
      </c>
      <c r="AT27" s="32">
        <f t="shared" si="8"/>
        <v>14</v>
      </c>
      <c r="AU27" s="32">
        <f t="shared" si="9"/>
        <v>159</v>
      </c>
      <c r="AV27" s="32">
        <f t="shared" si="10"/>
        <v>93.2</v>
      </c>
      <c r="AW27" s="32">
        <f t="shared" si="11"/>
        <v>65</v>
      </c>
      <c r="AX27" s="32">
        <f t="shared" si="12"/>
        <v>10</v>
      </c>
      <c r="AY27" s="32">
        <f t="shared" si="13"/>
        <v>375</v>
      </c>
      <c r="AZ27" s="32">
        <f t="shared" si="14"/>
        <v>625</v>
      </c>
      <c r="BA27" s="32">
        <f t="shared" si="15"/>
        <v>195.9015714285714</v>
      </c>
      <c r="BB27" s="32">
        <f t="shared" si="16"/>
        <v>297.34371428571433</v>
      </c>
    </row>
    <row r="28" spans="1:54" s="33" customFormat="1" ht="35" customHeight="1" x14ac:dyDescent="0.35">
      <c r="A28" s="23">
        <v>24</v>
      </c>
      <c r="B28" s="24" t="s">
        <v>8</v>
      </c>
      <c r="C28" s="25">
        <f>VLOOKUP(B28,'[1]Summary Sheet'!$C:$D,2,)</f>
        <v>0</v>
      </c>
      <c r="D28" s="25">
        <v>8</v>
      </c>
      <c r="E28" s="25">
        <v>5</v>
      </c>
      <c r="F28" s="26">
        <f t="shared" si="1"/>
        <v>13</v>
      </c>
      <c r="G28" s="26">
        <f>VLOOKUP(B28,'[4]OMC wise Summery'!$B:$D,3,)</f>
        <v>0</v>
      </c>
      <c r="H28" s="26">
        <f>VLOOKUP(B28,'[4]OMC wise Summery'!$B:$E,4,)</f>
        <v>0</v>
      </c>
      <c r="I28" s="26">
        <f>VLOOKUP(B28,'[4]OMC wise Summery'!$B:$F,5,)</f>
        <v>0</v>
      </c>
      <c r="J28" s="26">
        <f>VLOOKUP(B28,'[4]OMC wise Summery'!$B:$G,6,)</f>
        <v>0</v>
      </c>
      <c r="K28" s="26">
        <f>VLOOKUP(B28,'[4]OMC wise Summery'!$B:$H,7,)</f>
        <v>0</v>
      </c>
      <c r="L28" s="27">
        <f>VLOOKUP(B28,'[4]OMC wise Summery'!$B:$I,8,)</f>
        <v>0</v>
      </c>
      <c r="M28" s="27">
        <f>VLOOKUP(B28,'[4]OMC wise Summery'!$B:$J,9,)</f>
        <v>0</v>
      </c>
      <c r="N28" s="27">
        <f>VLOOKUP(B28,'[4]OMC wise Summery'!$B:$K,10,)</f>
        <v>0</v>
      </c>
      <c r="O28" s="27">
        <f>VLOOKUP(B28,'[4]OMC wise Summery'!$B:$L,11,)</f>
        <v>0</v>
      </c>
      <c r="P28" s="28">
        <f>VLOOKUP(B28,'[2]Summary Sheet'!$C:$L,10,)</f>
        <v>35</v>
      </c>
      <c r="Q28" s="28">
        <v>8</v>
      </c>
      <c r="R28" s="28">
        <v>0</v>
      </c>
      <c r="S28" s="28">
        <f t="shared" si="2"/>
        <v>8</v>
      </c>
      <c r="T28" s="28">
        <f>VLOOKUP(B28,'[5]Summary Sheet'!$C:$E,3,)</f>
        <v>3</v>
      </c>
      <c r="U28" s="28">
        <f>VLOOKUP(B28,'[5]Summary Sheet'!$C:$F,4,)</f>
        <v>18</v>
      </c>
      <c r="V28" s="28">
        <f>VLOOKUP(B28,'[5]Summary Sheet'!$C:$G,5,)</f>
        <v>18</v>
      </c>
      <c r="W28" s="28">
        <f>VLOOKUP(B28,'[5]Summary Sheet'!$C:$H,6,)</f>
        <v>5</v>
      </c>
      <c r="X28" s="28">
        <f>VLOOKUP(B28,'[5]Summary Sheet'!$C:$I,7,)</f>
        <v>1</v>
      </c>
      <c r="Y28" s="28">
        <f>VLOOKUP(B28,'[5]Summary Sheet'!$C:$J,8,)</f>
        <v>37</v>
      </c>
      <c r="Z28" s="28">
        <f>VLOOKUP(B28,'[5]Summary Sheet'!$C:$K,9,)</f>
        <v>41</v>
      </c>
      <c r="AA28" s="35">
        <f>VLOOKUP(B28,'[5]Summary Sheet'!$C:$L,10,)</f>
        <v>15</v>
      </c>
      <c r="AB28" s="35">
        <f>VLOOKUP(B28,'[5]Summary Sheet'!$C:$M,11,)</f>
        <v>25</v>
      </c>
      <c r="AC28" s="29">
        <f>VLOOKUP(B28,'[3]Summary Sheet'!$C:$T,18,)</f>
        <v>32</v>
      </c>
      <c r="AD28" s="29">
        <v>1</v>
      </c>
      <c r="AE28" s="29">
        <v>0</v>
      </c>
      <c r="AF28" s="29">
        <f t="shared" si="3"/>
        <v>1</v>
      </c>
      <c r="AG28" s="29">
        <f>VLOOKUP(B28,'[6]OMC wise Summery'!$B:$X,23,)</f>
        <v>2</v>
      </c>
      <c r="AH28" s="29">
        <f>VLOOKUP(B28,'[6]OMC wise Summery'!$B:$Y,24,)</f>
        <v>0</v>
      </c>
      <c r="AI28" s="30">
        <f>VLOOKUP(B28,'[6]OMC wise Summery'!$B:$Z,25,)</f>
        <v>0</v>
      </c>
      <c r="AJ28" s="29">
        <f>VLOOKUP(B28,'[6]OMC wise Summery'!$B:$AA,26,)</f>
        <v>0</v>
      </c>
      <c r="AK28" s="29">
        <f>VLOOKUP(B28,'[6]OMC wise Summery'!$B:$AB,27,)</f>
        <v>0</v>
      </c>
      <c r="AL28" s="29">
        <f>VLOOKUP(B28,'[6]OMC wise Summery'!$B:$AC,28,)</f>
        <v>0</v>
      </c>
      <c r="AM28" s="29">
        <f>VLOOKUP(B28,'[6]OMC wise Summery'!$B:$AD,29,)</f>
        <v>0</v>
      </c>
      <c r="AN28" s="30">
        <f>VLOOKUP(B28,'[6]OMC wise Summery'!$B:$AE,30,)</f>
        <v>11</v>
      </c>
      <c r="AO28" s="30">
        <f>VLOOKUP(B28,'[6]OMC wise Summery'!$B:$AF,31,)</f>
        <v>14</v>
      </c>
      <c r="AP28" s="31">
        <f t="shared" si="4"/>
        <v>67</v>
      </c>
      <c r="AQ28" s="32">
        <f t="shared" si="5"/>
        <v>17</v>
      </c>
      <c r="AR28" s="32">
        <f t="shared" si="6"/>
        <v>5</v>
      </c>
      <c r="AS28" s="32">
        <f t="shared" si="7"/>
        <v>22</v>
      </c>
      <c r="AT28" s="32">
        <f t="shared" si="8"/>
        <v>18</v>
      </c>
      <c r="AU28" s="32">
        <f t="shared" si="9"/>
        <v>18</v>
      </c>
      <c r="AV28" s="32">
        <f t="shared" si="10"/>
        <v>18</v>
      </c>
      <c r="AW28" s="32">
        <f t="shared" si="11"/>
        <v>5</v>
      </c>
      <c r="AX28" s="32">
        <f t="shared" si="12"/>
        <v>1</v>
      </c>
      <c r="AY28" s="32">
        <f t="shared" si="13"/>
        <v>37</v>
      </c>
      <c r="AZ28" s="32">
        <f t="shared" si="14"/>
        <v>41</v>
      </c>
      <c r="BA28" s="32">
        <f t="shared" si="15"/>
        <v>26</v>
      </c>
      <c r="BB28" s="32">
        <f t="shared" si="16"/>
        <v>39</v>
      </c>
    </row>
    <row r="29" spans="1:54" s="33" customFormat="1" ht="35" customHeight="1" x14ac:dyDescent="0.35">
      <c r="A29" s="23">
        <v>25</v>
      </c>
      <c r="B29" s="34" t="s">
        <v>26</v>
      </c>
      <c r="C29" s="25">
        <f>VLOOKUP(B29,'[1]Summary Sheet'!$C:$D,2,)</f>
        <v>100</v>
      </c>
      <c r="D29" s="25">
        <v>6</v>
      </c>
      <c r="E29" s="25">
        <v>3</v>
      </c>
      <c r="F29" s="26">
        <f t="shared" si="1"/>
        <v>9</v>
      </c>
      <c r="G29" s="26">
        <f>VLOOKUP(B29,'[4]OMC wise Summery'!$B:$D,3,)</f>
        <v>3</v>
      </c>
      <c r="H29" s="26">
        <f>VLOOKUP(B29,'[4]OMC wise Summery'!$B:$E,4,)</f>
        <v>54.000000000000007</v>
      </c>
      <c r="I29" s="26">
        <f>VLOOKUP(B29,'[4]OMC wise Summery'!$B:$F,5,)</f>
        <v>1</v>
      </c>
      <c r="J29" s="26">
        <f>VLOOKUP(B29,'[4]OMC wise Summery'!$B:$G,6,)</f>
        <v>35</v>
      </c>
      <c r="K29" s="26">
        <f>VLOOKUP(B29,'[4]OMC wise Summery'!$B:$H,7,)</f>
        <v>6</v>
      </c>
      <c r="L29" s="27">
        <f>VLOOKUP(B29,'[4]OMC wise Summery'!$B:$I,8,)</f>
        <v>161</v>
      </c>
      <c r="M29" s="27">
        <f>VLOOKUP(B29,'[4]OMC wise Summery'!$B:$J,9,)</f>
        <v>358</v>
      </c>
      <c r="N29" s="27">
        <f>VLOOKUP(B29,'[4]OMC wise Summery'!$B:$K,10,)</f>
        <v>88.165428571428521</v>
      </c>
      <c r="O29" s="27">
        <f>VLOOKUP(B29,'[4]OMC wise Summery'!$B:$L,11,)</f>
        <v>156.43785714285713</v>
      </c>
      <c r="P29" s="28">
        <f>VLOOKUP(B29,'[2]Summary Sheet'!$C:$L,10,)</f>
        <v>82</v>
      </c>
      <c r="Q29" s="28">
        <v>20</v>
      </c>
      <c r="R29" s="28">
        <v>6</v>
      </c>
      <c r="S29" s="28">
        <f t="shared" si="2"/>
        <v>26</v>
      </c>
      <c r="T29" s="28">
        <f>VLOOKUP(B29,'[5]Summary Sheet'!$C:$E,3,)</f>
        <v>9</v>
      </c>
      <c r="U29" s="28">
        <f>VLOOKUP(B29,'[5]Summary Sheet'!$C:$F,4,)</f>
        <v>47</v>
      </c>
      <c r="V29" s="28">
        <f>VLOOKUP(B29,'[5]Summary Sheet'!$C:$G,5,)</f>
        <v>47</v>
      </c>
      <c r="W29" s="28">
        <f>VLOOKUP(B29,'[5]Summary Sheet'!$C:$H,6,)</f>
        <v>11</v>
      </c>
      <c r="X29" s="28">
        <f>VLOOKUP(B29,'[5]Summary Sheet'!$C:$I,7,)</f>
        <v>3</v>
      </c>
      <c r="Y29" s="28">
        <f>VLOOKUP(B29,'[5]Summary Sheet'!$C:$J,8,)</f>
        <v>64</v>
      </c>
      <c r="Z29" s="28">
        <f>VLOOKUP(B29,'[5]Summary Sheet'!$C:$K,9,)</f>
        <v>104</v>
      </c>
      <c r="AA29" s="35">
        <f>VLOOKUP(B29,'[5]Summary Sheet'!$C:$L,10,)</f>
        <v>26</v>
      </c>
      <c r="AB29" s="35">
        <f>VLOOKUP(B29,'[5]Summary Sheet'!$C:$M,11,)</f>
        <v>35</v>
      </c>
      <c r="AC29" s="29">
        <f>VLOOKUP(B29,'[3]Summary Sheet'!$C:$T,18,)</f>
        <v>40</v>
      </c>
      <c r="AD29" s="29">
        <v>4</v>
      </c>
      <c r="AE29" s="29">
        <v>3</v>
      </c>
      <c r="AF29" s="29">
        <f t="shared" si="3"/>
        <v>7</v>
      </c>
      <c r="AG29" s="29">
        <f>VLOOKUP(B29,'[6]OMC wise Summery'!$B:$X,23,)</f>
        <v>3</v>
      </c>
      <c r="AH29" s="29">
        <f>VLOOKUP(B29,'[6]OMC wise Summery'!$B:$Y,24,)</f>
        <v>62</v>
      </c>
      <c r="AI29" s="30">
        <f>VLOOKUP(B29,'[6]OMC wise Summery'!$B:$Z,25,)</f>
        <v>49.6</v>
      </c>
      <c r="AJ29" s="29">
        <f>VLOOKUP(B29,'[6]OMC wise Summery'!$B:$AA,26,)</f>
        <v>15</v>
      </c>
      <c r="AK29" s="29">
        <f>VLOOKUP(B29,'[6]OMC wise Summery'!$B:$AB,27,)</f>
        <v>15</v>
      </c>
      <c r="AL29" s="29">
        <f>VLOOKUP(B29,'[6]OMC wise Summery'!$B:$AC,28,)</f>
        <v>72</v>
      </c>
      <c r="AM29" s="29">
        <f>VLOOKUP(B29,'[6]OMC wise Summery'!$B:$AD,29,)</f>
        <v>128</v>
      </c>
      <c r="AN29" s="30">
        <f>VLOOKUP(B29,'[6]OMC wise Summery'!$B:$AE,30,)</f>
        <v>25.234999999999999</v>
      </c>
      <c r="AO29" s="30">
        <f>VLOOKUP(B29,'[6]OMC wise Summery'!$B:$AF,31,)</f>
        <v>16.260000000000002</v>
      </c>
      <c r="AP29" s="31">
        <f t="shared" si="4"/>
        <v>222</v>
      </c>
      <c r="AQ29" s="32">
        <f t="shared" si="5"/>
        <v>30</v>
      </c>
      <c r="AR29" s="32">
        <f t="shared" si="6"/>
        <v>12</v>
      </c>
      <c r="AS29" s="32">
        <f t="shared" si="7"/>
        <v>42</v>
      </c>
      <c r="AT29" s="32">
        <f t="shared" si="8"/>
        <v>21</v>
      </c>
      <c r="AU29" s="32">
        <f t="shared" si="9"/>
        <v>163</v>
      </c>
      <c r="AV29" s="32">
        <f t="shared" si="10"/>
        <v>97.6</v>
      </c>
      <c r="AW29" s="32">
        <f t="shared" si="11"/>
        <v>61</v>
      </c>
      <c r="AX29" s="32">
        <f t="shared" si="12"/>
        <v>24</v>
      </c>
      <c r="AY29" s="32">
        <f t="shared" si="13"/>
        <v>297</v>
      </c>
      <c r="AZ29" s="32">
        <f t="shared" si="14"/>
        <v>590</v>
      </c>
      <c r="BA29" s="32">
        <f t="shared" si="15"/>
        <v>139.40042857142851</v>
      </c>
      <c r="BB29" s="32">
        <f t="shared" si="16"/>
        <v>207.69785714285712</v>
      </c>
    </row>
    <row r="30" spans="1:54" s="33" customFormat="1" ht="35" customHeight="1" x14ac:dyDescent="0.35">
      <c r="A30" s="23">
        <v>26</v>
      </c>
      <c r="B30" s="34" t="s">
        <v>24</v>
      </c>
      <c r="C30" s="25">
        <f>VLOOKUP(B30,'[1]Summary Sheet'!$C:$D,2,)</f>
        <v>74</v>
      </c>
      <c r="D30" s="25">
        <v>0</v>
      </c>
      <c r="E30" s="25">
        <v>0</v>
      </c>
      <c r="F30" s="26">
        <f t="shared" si="1"/>
        <v>0</v>
      </c>
      <c r="G30" s="26">
        <f>VLOOKUP(B30,'[4]OMC wise Summery'!$B:$D,3,)</f>
        <v>1</v>
      </c>
      <c r="H30" s="26">
        <f>VLOOKUP(B30,'[4]OMC wise Summery'!$B:$E,4,)</f>
        <v>26</v>
      </c>
      <c r="I30" s="26">
        <f>VLOOKUP(B30,'[4]OMC wise Summery'!$B:$F,5,)</f>
        <v>2</v>
      </c>
      <c r="J30" s="26">
        <f>VLOOKUP(B30,'[4]OMC wise Summery'!$B:$G,6,)</f>
        <v>16</v>
      </c>
      <c r="K30" s="26">
        <f>VLOOKUP(B30,'[4]OMC wise Summery'!$B:$H,7,)</f>
        <v>0</v>
      </c>
      <c r="L30" s="27">
        <f>VLOOKUP(B30,'[4]OMC wise Summery'!$B:$I,8,)</f>
        <v>99</v>
      </c>
      <c r="M30" s="27">
        <f>VLOOKUP(B30,'[4]OMC wise Summery'!$B:$J,9,)</f>
        <v>117</v>
      </c>
      <c r="N30" s="27">
        <f>VLOOKUP(B30,'[4]OMC wise Summery'!$B:$K,10,)</f>
        <v>76.981142857142856</v>
      </c>
      <c r="O30" s="27">
        <f>VLOOKUP(B30,'[4]OMC wise Summery'!$B:$L,11,)</f>
        <v>82.659142857142868</v>
      </c>
      <c r="P30" s="28">
        <f>VLOOKUP(B30,'[2]Summary Sheet'!$C:$L,10,)</f>
        <v>54</v>
      </c>
      <c r="Q30" s="28">
        <v>0</v>
      </c>
      <c r="R30" s="28">
        <v>1</v>
      </c>
      <c r="S30" s="28">
        <f t="shared" si="2"/>
        <v>1</v>
      </c>
      <c r="T30" s="28">
        <f>VLOOKUP(B30,'[5]Summary Sheet'!$C:$E,3,)</f>
        <v>1</v>
      </c>
      <c r="U30" s="28">
        <f>VLOOKUP(B30,'[5]Summary Sheet'!$C:$F,4,)</f>
        <v>20</v>
      </c>
      <c r="V30" s="28">
        <f>VLOOKUP(B30,'[5]Summary Sheet'!$C:$G,5,)</f>
        <v>20</v>
      </c>
      <c r="W30" s="28">
        <f>VLOOKUP(B30,'[5]Summary Sheet'!$C:$H,6,)</f>
        <v>17</v>
      </c>
      <c r="X30" s="28">
        <f>VLOOKUP(B30,'[5]Summary Sheet'!$C:$I,7,)</f>
        <v>1</v>
      </c>
      <c r="Y30" s="28">
        <f>VLOOKUP(B30,'[5]Summary Sheet'!$C:$J,8,)</f>
        <v>8</v>
      </c>
      <c r="Z30" s="28">
        <f>VLOOKUP(B30,'[5]Summary Sheet'!$C:$K,9,)</f>
        <v>6</v>
      </c>
      <c r="AA30" s="35">
        <f>VLOOKUP(B30,'[5]Summary Sheet'!$C:$L,10,)</f>
        <v>13</v>
      </c>
      <c r="AB30" s="35">
        <f>VLOOKUP(B30,'[5]Summary Sheet'!$C:$M,11,)</f>
        <v>17</v>
      </c>
      <c r="AC30" s="29">
        <f>VLOOKUP(B30,'[3]Summary Sheet'!$C:$T,18,)</f>
        <v>31</v>
      </c>
      <c r="AD30" s="29">
        <v>4</v>
      </c>
      <c r="AE30" s="29">
        <v>0</v>
      </c>
      <c r="AF30" s="29">
        <f t="shared" si="3"/>
        <v>4</v>
      </c>
      <c r="AG30" s="29">
        <f>VLOOKUP(B30,'[6]OMC wise Summery'!$B:$X,23,)</f>
        <v>3</v>
      </c>
      <c r="AH30" s="29">
        <f>VLOOKUP(B30,'[6]OMC wise Summery'!$B:$Y,24,)</f>
        <v>17</v>
      </c>
      <c r="AI30" s="30">
        <f>VLOOKUP(B30,'[6]OMC wise Summery'!$B:$Z,25,)</f>
        <v>13.600000000000001</v>
      </c>
      <c r="AJ30" s="29">
        <f>VLOOKUP(B30,'[6]OMC wise Summery'!$B:$AA,26,)</f>
        <v>1</v>
      </c>
      <c r="AK30" s="29">
        <f>VLOOKUP(B30,'[6]OMC wise Summery'!$B:$AB,27,)</f>
        <v>0</v>
      </c>
      <c r="AL30" s="29">
        <f>VLOOKUP(B30,'[6]OMC wise Summery'!$B:$AC,28,)</f>
        <v>0</v>
      </c>
      <c r="AM30" s="29">
        <f>VLOOKUP(B30,'[6]OMC wise Summery'!$B:$AD,29,)</f>
        <v>12</v>
      </c>
      <c r="AN30" s="30">
        <f>VLOOKUP(B30,'[6]OMC wise Summery'!$B:$AE,30,)</f>
        <v>6.1479999999999988</v>
      </c>
      <c r="AO30" s="30">
        <f>VLOOKUP(B30,'[6]OMC wise Summery'!$B:$AF,31,)</f>
        <v>7.8720000000000008</v>
      </c>
      <c r="AP30" s="31">
        <f t="shared" si="4"/>
        <v>159</v>
      </c>
      <c r="AQ30" s="32">
        <f t="shared" si="5"/>
        <v>4</v>
      </c>
      <c r="AR30" s="32">
        <f t="shared" si="6"/>
        <v>1</v>
      </c>
      <c r="AS30" s="32">
        <f t="shared" si="7"/>
        <v>5</v>
      </c>
      <c r="AT30" s="32">
        <f t="shared" si="8"/>
        <v>4</v>
      </c>
      <c r="AU30" s="32">
        <f t="shared" si="9"/>
        <v>63</v>
      </c>
      <c r="AV30" s="32">
        <f t="shared" si="10"/>
        <v>35.6</v>
      </c>
      <c r="AW30" s="32">
        <f t="shared" si="11"/>
        <v>34</v>
      </c>
      <c r="AX30" s="32">
        <f t="shared" si="12"/>
        <v>1</v>
      </c>
      <c r="AY30" s="32">
        <f t="shared" si="13"/>
        <v>107</v>
      </c>
      <c r="AZ30" s="32">
        <f t="shared" si="14"/>
        <v>135</v>
      </c>
      <c r="BA30" s="32">
        <f t="shared" si="15"/>
        <v>96.129142857142853</v>
      </c>
      <c r="BB30" s="32">
        <f t="shared" si="16"/>
        <v>107.53114285714287</v>
      </c>
    </row>
    <row r="31" spans="1:54" s="33" customFormat="1" ht="35" customHeight="1" x14ac:dyDescent="0.35">
      <c r="A31" s="23">
        <v>27</v>
      </c>
      <c r="B31" s="34" t="s">
        <v>37</v>
      </c>
      <c r="C31" s="25">
        <f>VLOOKUP(B31,'[1]Summary Sheet'!$C:$D,2,)</f>
        <v>53</v>
      </c>
      <c r="D31" s="25">
        <v>2</v>
      </c>
      <c r="E31" s="25">
        <v>6</v>
      </c>
      <c r="F31" s="26">
        <f t="shared" si="1"/>
        <v>8</v>
      </c>
      <c r="G31" s="26">
        <f>VLOOKUP(B31,'[4]OMC wise Summery'!$B:$D,3,)</f>
        <v>0</v>
      </c>
      <c r="H31" s="26">
        <f>VLOOKUP(B31,'[4]OMC wise Summery'!$B:$E,4,)</f>
        <v>31</v>
      </c>
      <c r="I31" s="26">
        <f>VLOOKUP(B31,'[4]OMC wise Summery'!$B:$F,5,)</f>
        <v>0</v>
      </c>
      <c r="J31" s="26">
        <f>VLOOKUP(B31,'[4]OMC wise Summery'!$B:$G,6,)</f>
        <v>18</v>
      </c>
      <c r="K31" s="26">
        <f>VLOOKUP(B31,'[4]OMC wise Summery'!$B:$H,7,)</f>
        <v>0</v>
      </c>
      <c r="L31" s="27">
        <f>VLOOKUP(B31,'[4]OMC wise Summery'!$B:$I,8,)</f>
        <v>118</v>
      </c>
      <c r="M31" s="27">
        <f>VLOOKUP(B31,'[4]OMC wise Summery'!$B:$J,9,)</f>
        <v>153</v>
      </c>
      <c r="N31" s="27">
        <f>VLOOKUP(B31,'[4]OMC wise Summery'!$B:$K,10,)</f>
        <v>75.511285714285691</v>
      </c>
      <c r="O31" s="27">
        <f>VLOOKUP(B31,'[4]OMC wise Summery'!$B:$L,11,)</f>
        <v>108.32985714285715</v>
      </c>
      <c r="P31" s="28">
        <f>VLOOKUP(B31,'[2]Summary Sheet'!$C:$L,10,)</f>
        <v>40</v>
      </c>
      <c r="Q31" s="28">
        <v>3</v>
      </c>
      <c r="R31" s="28">
        <v>6</v>
      </c>
      <c r="S31" s="28">
        <f t="shared" si="2"/>
        <v>9</v>
      </c>
      <c r="T31" s="28">
        <f>VLOOKUP(B31,'[5]Summary Sheet'!$C:$E,3,)</f>
        <v>0</v>
      </c>
      <c r="U31" s="28">
        <f>VLOOKUP(B31,'[5]Summary Sheet'!$C:$F,4,)</f>
        <v>25</v>
      </c>
      <c r="V31" s="28">
        <f>VLOOKUP(B31,'[5]Summary Sheet'!$C:$G,5,)</f>
        <v>19</v>
      </c>
      <c r="W31" s="28">
        <f>VLOOKUP(B31,'[5]Summary Sheet'!$C:$H,6,)</f>
        <v>6</v>
      </c>
      <c r="X31" s="28">
        <f>VLOOKUP(B31,'[5]Summary Sheet'!$C:$I,7,)</f>
        <v>0</v>
      </c>
      <c r="Y31" s="28">
        <f>VLOOKUP(B31,'[5]Summary Sheet'!$C:$J,8,)</f>
        <v>39</v>
      </c>
      <c r="Z31" s="28">
        <f>VLOOKUP(B31,'[5]Summary Sheet'!$C:$K,9,)</f>
        <v>51</v>
      </c>
      <c r="AA31" s="35">
        <f>VLOOKUP(B31,'[5]Summary Sheet'!$C:$L,10,)</f>
        <v>7.4279199999999994</v>
      </c>
      <c r="AB31" s="35">
        <f>VLOOKUP(B31,'[5]Summary Sheet'!$C:$M,11,)</f>
        <v>14.772959999999999</v>
      </c>
      <c r="AC31" s="29">
        <f>VLOOKUP(B31,'[3]Summary Sheet'!$C:$T,18,)</f>
        <v>43</v>
      </c>
      <c r="AD31" s="29">
        <v>5</v>
      </c>
      <c r="AE31" s="29">
        <v>5</v>
      </c>
      <c r="AF31" s="29">
        <f t="shared" si="3"/>
        <v>10</v>
      </c>
      <c r="AG31" s="29">
        <f>VLOOKUP(B31,'[6]OMC wise Summery'!$B:$X,23,)</f>
        <v>1</v>
      </c>
      <c r="AH31" s="29">
        <f>VLOOKUP(B31,'[6]OMC wise Summery'!$B:$Y,24,)</f>
        <v>9</v>
      </c>
      <c r="AI31" s="30">
        <f>VLOOKUP(B31,'[6]OMC wise Summery'!$B:$Z,25,)</f>
        <v>7.2</v>
      </c>
      <c r="AJ31" s="29">
        <f>VLOOKUP(B31,'[6]OMC wise Summery'!$B:$AA,26,)</f>
        <v>3</v>
      </c>
      <c r="AK31" s="29">
        <f>VLOOKUP(B31,'[6]OMC wise Summery'!$B:$AB,27,)</f>
        <v>2</v>
      </c>
      <c r="AL31" s="29">
        <f>VLOOKUP(B31,'[6]OMC wise Summery'!$B:$AC,28,)</f>
        <v>14</v>
      </c>
      <c r="AM31" s="29">
        <f>VLOOKUP(B31,'[6]OMC wise Summery'!$B:$AD,29,)</f>
        <v>26</v>
      </c>
      <c r="AN31" s="30">
        <f>VLOOKUP(B31,'[6]OMC wise Summery'!$B:$AE,30,)</f>
        <v>12.075000000000001</v>
      </c>
      <c r="AO31" s="30">
        <f>VLOOKUP(B31,'[6]OMC wise Summery'!$B:$AF,31,)</f>
        <v>18.332000000000001</v>
      </c>
      <c r="AP31" s="31">
        <f t="shared" si="4"/>
        <v>136</v>
      </c>
      <c r="AQ31" s="32">
        <f t="shared" si="5"/>
        <v>10</v>
      </c>
      <c r="AR31" s="32">
        <f t="shared" si="6"/>
        <v>17</v>
      </c>
      <c r="AS31" s="32">
        <f t="shared" si="7"/>
        <v>27</v>
      </c>
      <c r="AT31" s="32">
        <f t="shared" si="8"/>
        <v>9</v>
      </c>
      <c r="AU31" s="32">
        <f t="shared" si="9"/>
        <v>65</v>
      </c>
      <c r="AV31" s="32">
        <f t="shared" si="10"/>
        <v>26.2</v>
      </c>
      <c r="AW31" s="32">
        <f t="shared" si="11"/>
        <v>27</v>
      </c>
      <c r="AX31" s="32">
        <f t="shared" si="12"/>
        <v>2</v>
      </c>
      <c r="AY31" s="32">
        <f t="shared" si="13"/>
        <v>171</v>
      </c>
      <c r="AZ31" s="32">
        <f t="shared" si="14"/>
        <v>230</v>
      </c>
      <c r="BA31" s="32">
        <f t="shared" si="15"/>
        <v>95.014205714285694</v>
      </c>
      <c r="BB31" s="32">
        <f t="shared" si="16"/>
        <v>141.43481714285716</v>
      </c>
    </row>
    <row r="32" spans="1:54" s="33" customFormat="1" ht="35" customHeight="1" x14ac:dyDescent="0.35">
      <c r="A32" s="23">
        <v>28</v>
      </c>
      <c r="B32" s="34" t="s">
        <v>38</v>
      </c>
      <c r="C32" s="25">
        <f>VLOOKUP(B32,'[1]Summary Sheet'!$C:$D,2,)</f>
        <v>71</v>
      </c>
      <c r="D32" s="25">
        <v>1</v>
      </c>
      <c r="E32" s="25">
        <v>0</v>
      </c>
      <c r="F32" s="26">
        <f t="shared" si="1"/>
        <v>1</v>
      </c>
      <c r="G32" s="26">
        <f>VLOOKUP(B32,'[4]OMC wise Summery'!$B:$D,3,)</f>
        <v>0</v>
      </c>
      <c r="H32" s="26">
        <f>VLOOKUP(B32,'[4]OMC wise Summery'!$B:$E,4,)</f>
        <v>26</v>
      </c>
      <c r="I32" s="26">
        <f>VLOOKUP(B32,'[4]OMC wise Summery'!$B:$F,5,)</f>
        <v>2</v>
      </c>
      <c r="J32" s="26">
        <f>VLOOKUP(B32,'[4]OMC wise Summery'!$B:$G,6,)</f>
        <v>9</v>
      </c>
      <c r="K32" s="26">
        <f>VLOOKUP(B32,'[4]OMC wise Summery'!$B:$H,7,)</f>
        <v>0</v>
      </c>
      <c r="L32" s="27">
        <f>VLOOKUP(B32,'[4]OMC wise Summery'!$B:$I,8,)</f>
        <v>50</v>
      </c>
      <c r="M32" s="27">
        <f>VLOOKUP(B32,'[4]OMC wise Summery'!$B:$J,9,)</f>
        <v>70</v>
      </c>
      <c r="N32" s="27">
        <f>VLOOKUP(B32,'[4]OMC wise Summery'!$B:$K,10,)</f>
        <v>60.008285714285726</v>
      </c>
      <c r="O32" s="27">
        <f>VLOOKUP(B32,'[4]OMC wise Summery'!$B:$L,11,)</f>
        <v>74.702571428571446</v>
      </c>
      <c r="P32" s="28">
        <f>VLOOKUP(B32,'[2]Summary Sheet'!$C:$L,10,)</f>
        <v>33</v>
      </c>
      <c r="Q32" s="28">
        <v>1</v>
      </c>
      <c r="R32" s="28">
        <v>0</v>
      </c>
      <c r="S32" s="28">
        <f t="shared" si="2"/>
        <v>1</v>
      </c>
      <c r="T32" s="28">
        <f>VLOOKUP(B32,'[5]Summary Sheet'!$C:$E,3,)</f>
        <v>1</v>
      </c>
      <c r="U32" s="28">
        <f>VLOOKUP(B32,'[5]Summary Sheet'!$C:$F,4,)</f>
        <v>16</v>
      </c>
      <c r="V32" s="28">
        <f>VLOOKUP(B32,'[5]Summary Sheet'!$C:$G,5,)</f>
        <v>13</v>
      </c>
      <c r="W32" s="28">
        <f>VLOOKUP(B32,'[5]Summary Sheet'!$C:$H,6,)</f>
        <v>5</v>
      </c>
      <c r="X32" s="28">
        <f>VLOOKUP(B32,'[5]Summary Sheet'!$C:$I,7,)</f>
        <v>0</v>
      </c>
      <c r="Y32" s="28">
        <f>VLOOKUP(B32,'[5]Summary Sheet'!$C:$J,8,)</f>
        <v>38</v>
      </c>
      <c r="Z32" s="28">
        <f>VLOOKUP(B32,'[5]Summary Sheet'!$C:$K,9,)</f>
        <v>42</v>
      </c>
      <c r="AA32" s="35">
        <f>VLOOKUP(B32,'[5]Summary Sheet'!$C:$L,10,)</f>
        <v>8.4347299999999983</v>
      </c>
      <c r="AB32" s="35">
        <f>VLOOKUP(B32,'[5]Summary Sheet'!$C:$M,11,)</f>
        <v>12.576980000000001</v>
      </c>
      <c r="AC32" s="29">
        <f>VLOOKUP(B32,'[3]Summary Sheet'!$C:$T,18,)</f>
        <v>25</v>
      </c>
      <c r="AD32" s="29">
        <v>0</v>
      </c>
      <c r="AE32" s="29">
        <v>0</v>
      </c>
      <c r="AF32" s="29">
        <f t="shared" si="3"/>
        <v>0</v>
      </c>
      <c r="AG32" s="29">
        <f>VLOOKUP(B32,'[6]OMC wise Summery'!$B:$X,23,)</f>
        <v>0</v>
      </c>
      <c r="AH32" s="29">
        <f>VLOOKUP(B32,'[6]OMC wise Summery'!$B:$Y,24,)</f>
        <v>33</v>
      </c>
      <c r="AI32" s="30">
        <f>VLOOKUP(B32,'[6]OMC wise Summery'!$B:$Z,25,)</f>
        <v>26.400000000000002</v>
      </c>
      <c r="AJ32" s="29">
        <f>VLOOKUP(B32,'[6]OMC wise Summery'!$B:$AA,26,)</f>
        <v>17</v>
      </c>
      <c r="AK32" s="29">
        <f>VLOOKUP(B32,'[6]OMC wise Summery'!$B:$AB,27,)</f>
        <v>12</v>
      </c>
      <c r="AL32" s="29">
        <f>VLOOKUP(B32,'[6]OMC wise Summery'!$B:$AC,28,)</f>
        <v>83</v>
      </c>
      <c r="AM32" s="29">
        <f>VLOOKUP(B32,'[6]OMC wise Summery'!$B:$AD,29,)</f>
        <v>147</v>
      </c>
      <c r="AN32" s="30">
        <f>VLOOKUP(B32,'[6]OMC wise Summery'!$B:$AE,30,)</f>
        <v>14.245000000000001</v>
      </c>
      <c r="AO32" s="30">
        <f>VLOOKUP(B32,'[6]OMC wise Summery'!$B:$AF,31,)</f>
        <v>14.42</v>
      </c>
      <c r="AP32" s="31">
        <f t="shared" si="4"/>
        <v>129</v>
      </c>
      <c r="AQ32" s="32">
        <f t="shared" si="5"/>
        <v>2</v>
      </c>
      <c r="AR32" s="32">
        <f t="shared" si="6"/>
        <v>0</v>
      </c>
      <c r="AS32" s="32">
        <f t="shared" si="7"/>
        <v>2</v>
      </c>
      <c r="AT32" s="32">
        <f t="shared" si="8"/>
        <v>2</v>
      </c>
      <c r="AU32" s="32">
        <f t="shared" si="9"/>
        <v>75</v>
      </c>
      <c r="AV32" s="32">
        <f t="shared" si="10"/>
        <v>41.400000000000006</v>
      </c>
      <c r="AW32" s="32">
        <f t="shared" si="11"/>
        <v>31</v>
      </c>
      <c r="AX32" s="32">
        <f t="shared" si="12"/>
        <v>12</v>
      </c>
      <c r="AY32" s="32">
        <f t="shared" si="13"/>
        <v>171</v>
      </c>
      <c r="AZ32" s="32">
        <f t="shared" si="14"/>
        <v>259</v>
      </c>
      <c r="BA32" s="32">
        <f t="shared" si="15"/>
        <v>82.688015714285726</v>
      </c>
      <c r="BB32" s="32">
        <f t="shared" si="16"/>
        <v>101.69955142857145</v>
      </c>
    </row>
    <row r="33" spans="1:54" s="33" customFormat="1" ht="35" customHeight="1" x14ac:dyDescent="0.35">
      <c r="A33" s="80" t="s">
        <v>18</v>
      </c>
      <c r="B33" s="80"/>
      <c r="C33" s="36">
        <f>SUM(C5:C32)</f>
        <v>1838</v>
      </c>
      <c r="D33" s="36">
        <f t="shared" ref="D33:E33" si="17">SUM(D5:D32)</f>
        <v>120</v>
      </c>
      <c r="E33" s="36">
        <f t="shared" si="17"/>
        <v>32</v>
      </c>
      <c r="F33" s="37">
        <f t="shared" ref="F33:K33" si="18">SUM(F5:F32)</f>
        <v>152</v>
      </c>
      <c r="G33" s="37">
        <f t="shared" si="18"/>
        <v>67</v>
      </c>
      <c r="H33" s="37">
        <f t="shared" si="18"/>
        <v>898</v>
      </c>
      <c r="I33" s="37">
        <f t="shared" si="18"/>
        <v>83</v>
      </c>
      <c r="J33" s="37">
        <f t="shared" si="18"/>
        <v>323</v>
      </c>
      <c r="K33" s="37">
        <f t="shared" si="18"/>
        <v>30</v>
      </c>
      <c r="L33" s="37">
        <f t="shared" ref="L33:Y33" si="19">SUM(L5:L32)</f>
        <v>1796</v>
      </c>
      <c r="M33" s="37">
        <f t="shared" si="19"/>
        <v>3136</v>
      </c>
      <c r="N33" s="37">
        <f t="shared" si="19"/>
        <v>2497.418714285714</v>
      </c>
      <c r="O33" s="37">
        <f t="shared" si="19"/>
        <v>3889.5362857142859</v>
      </c>
      <c r="P33" s="38">
        <f t="shared" si="19"/>
        <v>1473</v>
      </c>
      <c r="Q33" s="38">
        <f t="shared" si="19"/>
        <v>116</v>
      </c>
      <c r="R33" s="38">
        <f t="shared" si="19"/>
        <v>26</v>
      </c>
      <c r="S33" s="38">
        <f>SUM(S5:S32)</f>
        <v>142</v>
      </c>
      <c r="T33" s="38">
        <f t="shared" si="19"/>
        <v>126</v>
      </c>
      <c r="U33" s="38">
        <f>SUM(U5:U32)</f>
        <v>940</v>
      </c>
      <c r="V33" s="38">
        <f>SUM(V5:V32)</f>
        <v>827</v>
      </c>
      <c r="W33" s="38">
        <f>SUM(W5:W32)</f>
        <v>305</v>
      </c>
      <c r="X33" s="38">
        <f>SUM(X5:X32)</f>
        <v>96</v>
      </c>
      <c r="Y33" s="38">
        <f t="shared" si="19"/>
        <v>1789</v>
      </c>
      <c r="Z33" s="38">
        <f t="shared" ref="Z33" si="20">SUM(Z5:Z32)</f>
        <v>2762</v>
      </c>
      <c r="AA33" s="39">
        <f>SUM(AA5:AA32)</f>
        <v>618.78017999999986</v>
      </c>
      <c r="AB33" s="39">
        <f>SUM(AB5:AB32)</f>
        <v>1152.26406</v>
      </c>
      <c r="AC33" s="40">
        <f>SUM(AC5:AC32)</f>
        <v>1149</v>
      </c>
      <c r="AD33" s="40">
        <f t="shared" ref="AD33:AF33" si="21">SUM(AD5:AD32)</f>
        <v>72</v>
      </c>
      <c r="AE33" s="40">
        <f t="shared" si="21"/>
        <v>18</v>
      </c>
      <c r="AF33" s="40">
        <f t="shared" si="21"/>
        <v>90</v>
      </c>
      <c r="AG33" s="40">
        <f t="shared" ref="AG33:AK33" si="22">SUM(AG5:AG32)</f>
        <v>72</v>
      </c>
      <c r="AH33" s="40">
        <f>SUM(AH5:AH32)</f>
        <v>813</v>
      </c>
      <c r="AI33" s="41">
        <f>SUM(AI5:AI32)</f>
        <v>650.4</v>
      </c>
      <c r="AJ33" s="40">
        <f>SUM(AJ5:AJ32)</f>
        <v>288</v>
      </c>
      <c r="AK33" s="40">
        <f t="shared" si="22"/>
        <v>146</v>
      </c>
      <c r="AL33" s="40">
        <f>SUM(AL5:AL32)</f>
        <v>1285</v>
      </c>
      <c r="AM33" s="40">
        <f>SUM(AM5:AM32)</f>
        <v>2572</v>
      </c>
      <c r="AN33" s="41">
        <f t="shared" ref="AN33" si="23">SUM(AN5:AN32)</f>
        <v>613.26700000000017</v>
      </c>
      <c r="AO33" s="41">
        <f t="shared" ref="AO33" si="24">SUM(AO5:AO32)</f>
        <v>1221.9930000000004</v>
      </c>
      <c r="AP33" s="42">
        <f>SUM(AP5:AP32)</f>
        <v>4460</v>
      </c>
      <c r="AQ33" s="43">
        <f>SUM(AQ5:AQ32)</f>
        <v>308</v>
      </c>
      <c r="AR33" s="43">
        <f t="shared" ref="AR33:AS33" si="25">SUM(AR5:AR32)</f>
        <v>76</v>
      </c>
      <c r="AS33" s="43">
        <f t="shared" si="25"/>
        <v>384</v>
      </c>
      <c r="AT33" s="43">
        <f>SUM(AT5:AT32)</f>
        <v>350</v>
      </c>
      <c r="AU33" s="43">
        <f>SUM(AU5:AU32)</f>
        <v>2651</v>
      </c>
      <c r="AV33" s="43">
        <f>SUM(AV5:AV32)</f>
        <v>1560.4000000000003</v>
      </c>
      <c r="AW33" s="42">
        <f t="shared" ref="AW33:AZ33" si="26">SUM(AW5:AW32)</f>
        <v>916</v>
      </c>
      <c r="AX33" s="43">
        <f>SUM(AX5:AX32)</f>
        <v>272</v>
      </c>
      <c r="AY33" s="43">
        <f t="shared" si="26"/>
        <v>4870</v>
      </c>
      <c r="AZ33" s="43">
        <f t="shared" si="26"/>
        <v>8470</v>
      </c>
      <c r="BA33" s="43">
        <f>SUM(BA5:BA32)</f>
        <v>3729.4658942857154</v>
      </c>
      <c r="BB33" s="43">
        <f>SUM(BB5:BB32)</f>
        <v>6263.7933457142854</v>
      </c>
    </row>
    <row r="36" spans="1:54" ht="62" x14ac:dyDescent="0.35">
      <c r="D36" s="44" t="s">
        <v>47</v>
      </c>
      <c r="E36" s="48">
        <f>F33</f>
        <v>152</v>
      </c>
      <c r="F36" s="66"/>
      <c r="P36" s="45" t="s">
        <v>47</v>
      </c>
      <c r="Q36" s="4">
        <f>S33</f>
        <v>142</v>
      </c>
      <c r="R36" s="65"/>
      <c r="S36" s="65"/>
      <c r="T36" s="65"/>
      <c r="AD36" s="46" t="s">
        <v>47</v>
      </c>
      <c r="AE36" s="5">
        <f>AF33</f>
        <v>90</v>
      </c>
      <c r="AF36" s="65"/>
      <c r="AO36" s="47" t="s">
        <v>47</v>
      </c>
      <c r="AP36" s="22">
        <f>AS33</f>
        <v>384</v>
      </c>
      <c r="AQ36" s="66"/>
      <c r="AR36" s="66"/>
      <c r="AS36" s="66"/>
    </row>
    <row r="37" spans="1:54" ht="62" x14ac:dyDescent="0.35">
      <c r="D37" s="44" t="s">
        <v>48</v>
      </c>
      <c r="E37" s="48">
        <f>G33</f>
        <v>67</v>
      </c>
      <c r="F37" s="66"/>
      <c r="P37" s="45" t="s">
        <v>48</v>
      </c>
      <c r="Q37" s="4">
        <f>T33</f>
        <v>126</v>
      </c>
      <c r="R37" s="65"/>
      <c r="S37" s="65"/>
      <c r="T37" s="65"/>
      <c r="AD37" s="46" t="s">
        <v>48</v>
      </c>
      <c r="AE37" s="5">
        <f>AG33</f>
        <v>72</v>
      </c>
      <c r="AF37" s="65"/>
      <c r="AO37" s="47" t="s">
        <v>48</v>
      </c>
      <c r="AP37" s="22">
        <f>AT33</f>
        <v>350</v>
      </c>
      <c r="AQ37" s="66"/>
      <c r="AR37" s="66"/>
      <c r="AS37" s="66"/>
    </row>
    <row r="38" spans="1:54" ht="31" x14ac:dyDescent="0.35">
      <c r="D38" s="44" t="s">
        <v>43</v>
      </c>
      <c r="E38" s="48">
        <f>I33</f>
        <v>83</v>
      </c>
      <c r="F38" s="66"/>
      <c r="P38" s="45" t="s">
        <v>43</v>
      </c>
      <c r="Q38" s="4">
        <f>V33</f>
        <v>827</v>
      </c>
      <c r="R38" s="65"/>
      <c r="S38" s="65"/>
      <c r="T38" s="65"/>
      <c r="AD38" s="46" t="s">
        <v>43</v>
      </c>
      <c r="AE38" s="70">
        <f>AI33</f>
        <v>650.4</v>
      </c>
      <c r="AF38" s="65"/>
      <c r="AO38" s="47" t="s">
        <v>43</v>
      </c>
      <c r="AP38" s="22">
        <f>AV33</f>
        <v>1560.4000000000003</v>
      </c>
      <c r="AQ38" s="66"/>
      <c r="AR38" s="66"/>
      <c r="AS38" s="66"/>
    </row>
    <row r="39" spans="1:54" ht="31" x14ac:dyDescent="0.35">
      <c r="D39" s="44" t="s">
        <v>44</v>
      </c>
      <c r="E39" s="48">
        <f>J33</f>
        <v>323</v>
      </c>
      <c r="F39" s="66"/>
      <c r="P39" s="45" t="s">
        <v>44</v>
      </c>
      <c r="Q39" s="4">
        <f>W33</f>
        <v>305</v>
      </c>
      <c r="R39" s="65"/>
      <c r="S39" s="65"/>
      <c r="T39" s="65"/>
      <c r="AD39" s="46" t="s">
        <v>44</v>
      </c>
      <c r="AE39" s="5">
        <f>AJ33</f>
        <v>288</v>
      </c>
      <c r="AF39" s="65"/>
      <c r="AO39" s="47" t="s">
        <v>44</v>
      </c>
      <c r="AP39" s="7">
        <f>AW33</f>
        <v>916</v>
      </c>
      <c r="AQ39" s="65"/>
      <c r="AR39" s="65"/>
      <c r="AS39" s="65"/>
    </row>
    <row r="40" spans="1:54" ht="31" x14ac:dyDescent="0.35">
      <c r="D40" s="44" t="s">
        <v>73</v>
      </c>
      <c r="E40" s="48">
        <f>K33</f>
        <v>30</v>
      </c>
      <c r="F40" s="66"/>
      <c r="P40" s="45" t="s">
        <v>73</v>
      </c>
      <c r="Q40" s="4">
        <f>X33</f>
        <v>96</v>
      </c>
      <c r="R40" s="65"/>
      <c r="S40" s="65"/>
      <c r="T40" s="65"/>
      <c r="AD40" s="46" t="s">
        <v>73</v>
      </c>
      <c r="AE40" s="5">
        <f>AK33</f>
        <v>146</v>
      </c>
      <c r="AF40" s="65"/>
      <c r="AO40" s="47" t="s">
        <v>72</v>
      </c>
      <c r="AP40" s="22">
        <f>AX33</f>
        <v>272</v>
      </c>
      <c r="AQ40" s="65"/>
      <c r="AR40" s="65"/>
      <c r="AS40" s="65"/>
    </row>
    <row r="41" spans="1:54" ht="46.5" x14ac:dyDescent="0.35">
      <c r="D41" s="44" t="s">
        <v>45</v>
      </c>
      <c r="E41" s="48">
        <f>L33</f>
        <v>1796</v>
      </c>
      <c r="F41" s="66"/>
      <c r="P41" s="45" t="s">
        <v>45</v>
      </c>
      <c r="Q41" s="4">
        <f>Y33</f>
        <v>1789</v>
      </c>
      <c r="R41" s="65"/>
      <c r="S41" s="65"/>
      <c r="T41" s="65"/>
      <c r="AD41" s="46" t="s">
        <v>45</v>
      </c>
      <c r="AE41" s="5">
        <f>AL33</f>
        <v>1285</v>
      </c>
      <c r="AF41" s="65"/>
      <c r="AO41" s="47" t="s">
        <v>45</v>
      </c>
      <c r="AP41" s="22">
        <f>AY33</f>
        <v>4870</v>
      </c>
      <c r="AQ41" s="66"/>
      <c r="AR41" s="66"/>
      <c r="AS41" s="66"/>
    </row>
    <row r="42" spans="1:54" ht="46.5" x14ac:dyDescent="0.35">
      <c r="D42" s="44" t="s">
        <v>46</v>
      </c>
      <c r="E42" s="48">
        <f>M33</f>
        <v>3136</v>
      </c>
      <c r="F42" s="66"/>
      <c r="P42" s="45" t="s">
        <v>46</v>
      </c>
      <c r="Q42" s="4">
        <f>Z33</f>
        <v>2762</v>
      </c>
      <c r="R42" s="65"/>
      <c r="S42" s="65"/>
      <c r="T42" s="65"/>
      <c r="AD42" s="46" t="s">
        <v>46</v>
      </c>
      <c r="AE42" s="5">
        <f>AM33</f>
        <v>2572</v>
      </c>
      <c r="AF42" s="65"/>
      <c r="AO42" s="47" t="s">
        <v>46</v>
      </c>
      <c r="AP42" s="22">
        <f>AZ33</f>
        <v>8470</v>
      </c>
      <c r="AQ42" s="66"/>
      <c r="AR42" s="66"/>
      <c r="AS42" s="66"/>
    </row>
  </sheetData>
  <mergeCells count="44">
    <mergeCell ref="A33:B33"/>
    <mergeCell ref="L3:M3"/>
    <mergeCell ref="K3:K4"/>
    <mergeCell ref="H3:H4"/>
    <mergeCell ref="A2:A4"/>
    <mergeCell ref="I3:I4"/>
    <mergeCell ref="D3:F3"/>
    <mergeCell ref="AY3:AZ3"/>
    <mergeCell ref="C3:C4"/>
    <mergeCell ref="B2:B4"/>
    <mergeCell ref="AK3:AK4"/>
    <mergeCell ref="AL3:AM3"/>
    <mergeCell ref="AG3:AG4"/>
    <mergeCell ref="AI3:AI4"/>
    <mergeCell ref="AJ3:AJ4"/>
    <mergeCell ref="AP3:AP4"/>
    <mergeCell ref="U3:U4"/>
    <mergeCell ref="AH3:AH4"/>
    <mergeCell ref="AU3:AU4"/>
    <mergeCell ref="P3:P4"/>
    <mergeCell ref="Y3:Z3"/>
    <mergeCell ref="AC3:AC4"/>
    <mergeCell ref="T3:T4"/>
    <mergeCell ref="N3:O3"/>
    <mergeCell ref="V3:V4"/>
    <mergeCell ref="W3:W4"/>
    <mergeCell ref="AA3:AB3"/>
    <mergeCell ref="AW3:AW4"/>
    <mergeCell ref="A1:BB1"/>
    <mergeCell ref="X3:X4"/>
    <mergeCell ref="Q3:S3"/>
    <mergeCell ref="AD3:AF3"/>
    <mergeCell ref="AX3:AX4"/>
    <mergeCell ref="AQ3:AS3"/>
    <mergeCell ref="C2:O2"/>
    <mergeCell ref="P2:AB2"/>
    <mergeCell ref="AC2:AO2"/>
    <mergeCell ref="AP2:BB2"/>
    <mergeCell ref="AT3:AT4"/>
    <mergeCell ref="AV3:AV4"/>
    <mergeCell ref="BA3:BB3"/>
    <mergeCell ref="AN3:AO3"/>
    <mergeCell ref="G3:G4"/>
    <mergeCell ref="J3:J4"/>
  </mergeCells>
  <pageMargins left="0.25" right="0.25" top="0.75" bottom="0.75" header="0.3" footer="0.3"/>
  <pageSetup paperSize="9" scale="25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AFA4-D0C8-40C9-97C5-5B9A27C60FE0}">
  <dimension ref="B1:E22"/>
  <sheetViews>
    <sheetView workbookViewId="0">
      <selection activeCell="B18" sqref="B18"/>
    </sheetView>
  </sheetViews>
  <sheetFormatPr defaultRowHeight="14.5" x14ac:dyDescent="0.35"/>
  <cols>
    <col min="2" max="2" width="27.08984375" bestFit="1" customWidth="1"/>
  </cols>
  <sheetData>
    <row r="1" spans="2:5" x14ac:dyDescent="0.35">
      <c r="C1" t="s">
        <v>84</v>
      </c>
      <c r="D1" t="s">
        <v>85</v>
      </c>
    </row>
    <row r="2" spans="2:5" ht="20" x14ac:dyDescent="0.35">
      <c r="B2" s="34" t="s">
        <v>30</v>
      </c>
      <c r="C2">
        <v>1</v>
      </c>
      <c r="E2">
        <v>1</v>
      </c>
    </row>
    <row r="3" spans="2:5" x14ac:dyDescent="0.35">
      <c r="B3" s="68" t="s">
        <v>74</v>
      </c>
      <c r="C3">
        <v>10</v>
      </c>
      <c r="E3">
        <v>10</v>
      </c>
    </row>
    <row r="4" spans="2:5" x14ac:dyDescent="0.35">
      <c r="B4" s="68" t="s">
        <v>16</v>
      </c>
      <c r="C4">
        <v>8</v>
      </c>
      <c r="E4">
        <v>8</v>
      </c>
    </row>
    <row r="5" spans="2:5" x14ac:dyDescent="0.35">
      <c r="B5" s="68" t="s">
        <v>75</v>
      </c>
      <c r="C5">
        <v>4</v>
      </c>
      <c r="E5">
        <v>4</v>
      </c>
    </row>
    <row r="6" spans="2:5" ht="21" x14ac:dyDescent="0.35">
      <c r="B6" s="24" t="s">
        <v>29</v>
      </c>
      <c r="C6">
        <v>1</v>
      </c>
      <c r="D6">
        <v>1</v>
      </c>
      <c r="E6">
        <v>2</v>
      </c>
    </row>
    <row r="7" spans="2:5" x14ac:dyDescent="0.35">
      <c r="B7" s="68" t="s">
        <v>5</v>
      </c>
      <c r="C7">
        <v>2</v>
      </c>
      <c r="D7">
        <v>1</v>
      </c>
      <c r="E7">
        <v>3</v>
      </c>
    </row>
    <row r="8" spans="2:5" x14ac:dyDescent="0.35">
      <c r="B8" s="68" t="s">
        <v>0</v>
      </c>
      <c r="C8">
        <v>2</v>
      </c>
      <c r="D8">
        <v>8</v>
      </c>
      <c r="E8">
        <v>10</v>
      </c>
    </row>
    <row r="9" spans="2:5" x14ac:dyDescent="0.35">
      <c r="B9" s="68" t="s">
        <v>1</v>
      </c>
      <c r="C9">
        <v>3</v>
      </c>
      <c r="E9">
        <v>3</v>
      </c>
    </row>
    <row r="10" spans="2:5" x14ac:dyDescent="0.35">
      <c r="B10" s="68" t="s">
        <v>6</v>
      </c>
      <c r="C10">
        <v>9</v>
      </c>
      <c r="D10">
        <v>2</v>
      </c>
      <c r="E10">
        <v>11</v>
      </c>
    </row>
    <row r="11" spans="2:5" x14ac:dyDescent="0.35">
      <c r="B11" s="68" t="s">
        <v>76</v>
      </c>
      <c r="C11">
        <v>4</v>
      </c>
      <c r="E11">
        <v>4</v>
      </c>
    </row>
    <row r="12" spans="2:5" x14ac:dyDescent="0.35">
      <c r="B12" s="68" t="s">
        <v>8</v>
      </c>
      <c r="C12">
        <v>4</v>
      </c>
      <c r="E12">
        <v>4</v>
      </c>
    </row>
    <row r="13" spans="2:5" x14ac:dyDescent="0.35">
      <c r="B13" s="68" t="s">
        <v>82</v>
      </c>
      <c r="C13">
        <v>1</v>
      </c>
      <c r="E13">
        <v>1</v>
      </c>
    </row>
    <row r="14" spans="2:5" x14ac:dyDescent="0.35">
      <c r="B14" s="68" t="s">
        <v>4</v>
      </c>
      <c r="C14">
        <v>6</v>
      </c>
      <c r="D14">
        <v>1</v>
      </c>
      <c r="E14">
        <v>7</v>
      </c>
    </row>
    <row r="15" spans="2:5" x14ac:dyDescent="0.35">
      <c r="B15" s="68" t="s">
        <v>2</v>
      </c>
      <c r="C15">
        <v>4</v>
      </c>
      <c r="E15">
        <v>4</v>
      </c>
    </row>
    <row r="16" spans="2:5" x14ac:dyDescent="0.35">
      <c r="B16" s="68" t="s">
        <v>83</v>
      </c>
      <c r="C16">
        <v>1</v>
      </c>
      <c r="E16">
        <v>1</v>
      </c>
    </row>
    <row r="17" spans="2:5" x14ac:dyDescent="0.35">
      <c r="B17" s="68" t="s">
        <v>77</v>
      </c>
      <c r="C17">
        <v>3</v>
      </c>
      <c r="D17">
        <v>3</v>
      </c>
      <c r="E17">
        <v>6</v>
      </c>
    </row>
    <row r="18" spans="2:5" ht="20" x14ac:dyDescent="0.35">
      <c r="B18" s="34" t="s">
        <v>36</v>
      </c>
      <c r="C18">
        <v>12</v>
      </c>
      <c r="E18">
        <v>12</v>
      </c>
    </row>
    <row r="19" spans="2:5" x14ac:dyDescent="0.35">
      <c r="B19" s="68" t="s">
        <v>78</v>
      </c>
      <c r="C19">
        <v>2</v>
      </c>
      <c r="E19">
        <v>2</v>
      </c>
    </row>
    <row r="20" spans="2:5" x14ac:dyDescent="0.35">
      <c r="B20" s="68" t="s">
        <v>15</v>
      </c>
      <c r="C20">
        <v>6</v>
      </c>
      <c r="E20">
        <v>6</v>
      </c>
    </row>
    <row r="21" spans="2:5" x14ac:dyDescent="0.35">
      <c r="B21" s="68" t="s">
        <v>79</v>
      </c>
      <c r="C21">
        <v>2</v>
      </c>
      <c r="E21">
        <v>2</v>
      </c>
    </row>
    <row r="22" spans="2:5" x14ac:dyDescent="0.35">
      <c r="B22" s="68" t="s">
        <v>7</v>
      </c>
      <c r="C22">
        <v>1</v>
      </c>
      <c r="E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15B3-D4E5-4D0B-8DEB-361D2C1E65FD}">
  <dimension ref="B1:E20"/>
  <sheetViews>
    <sheetView workbookViewId="0">
      <selection activeCell="B17" sqref="B17"/>
    </sheetView>
  </sheetViews>
  <sheetFormatPr defaultRowHeight="14.5" x14ac:dyDescent="0.35"/>
  <cols>
    <col min="2" max="2" width="27.08984375" bestFit="1" customWidth="1"/>
    <col min="3" max="3" width="10.6328125" bestFit="1" customWidth="1"/>
    <col min="4" max="4" width="10" bestFit="1" customWidth="1"/>
    <col min="5" max="5" width="10.7265625" bestFit="1" customWidth="1"/>
  </cols>
  <sheetData>
    <row r="1" spans="2:5" x14ac:dyDescent="0.35">
      <c r="C1" s="69" t="s">
        <v>80</v>
      </c>
      <c r="D1" s="69" t="s">
        <v>81</v>
      </c>
      <c r="E1" s="69" t="s">
        <v>31</v>
      </c>
    </row>
    <row r="2" spans="2:5" ht="20" x14ac:dyDescent="0.35">
      <c r="B2" s="34" t="s">
        <v>30</v>
      </c>
      <c r="C2">
        <v>1</v>
      </c>
      <c r="E2">
        <v>1</v>
      </c>
    </row>
    <row r="3" spans="2:5" x14ac:dyDescent="0.35">
      <c r="B3" s="68" t="s">
        <v>74</v>
      </c>
      <c r="C3">
        <v>7</v>
      </c>
      <c r="E3">
        <v>7</v>
      </c>
    </row>
    <row r="4" spans="2:5" x14ac:dyDescent="0.35">
      <c r="B4" s="68" t="s">
        <v>16</v>
      </c>
      <c r="C4">
        <v>19</v>
      </c>
      <c r="E4">
        <v>19</v>
      </c>
    </row>
    <row r="5" spans="2:5" x14ac:dyDescent="0.35">
      <c r="B5" s="68" t="s">
        <v>75</v>
      </c>
      <c r="C5">
        <v>2</v>
      </c>
      <c r="E5">
        <v>2</v>
      </c>
    </row>
    <row r="6" spans="2:5" ht="21" x14ac:dyDescent="0.35">
      <c r="B6" s="24" t="s">
        <v>29</v>
      </c>
      <c r="D6">
        <v>4</v>
      </c>
      <c r="E6">
        <v>4</v>
      </c>
    </row>
    <row r="7" spans="2:5" x14ac:dyDescent="0.35">
      <c r="B7" s="68" t="s">
        <v>5</v>
      </c>
      <c r="C7">
        <v>5</v>
      </c>
      <c r="E7">
        <v>5</v>
      </c>
    </row>
    <row r="8" spans="2:5" x14ac:dyDescent="0.35">
      <c r="B8" s="68" t="s">
        <v>0</v>
      </c>
      <c r="C8">
        <v>1</v>
      </c>
      <c r="D8">
        <v>10</v>
      </c>
      <c r="E8">
        <v>11</v>
      </c>
    </row>
    <row r="9" spans="2:5" x14ac:dyDescent="0.35">
      <c r="B9" s="68" t="s">
        <v>1</v>
      </c>
      <c r="C9">
        <v>3</v>
      </c>
      <c r="E9">
        <v>3</v>
      </c>
    </row>
    <row r="10" spans="2:5" x14ac:dyDescent="0.35">
      <c r="B10" s="68" t="s">
        <v>6</v>
      </c>
      <c r="C10">
        <v>9</v>
      </c>
      <c r="E10">
        <v>9</v>
      </c>
    </row>
    <row r="11" spans="2:5" x14ac:dyDescent="0.35">
      <c r="B11" s="68" t="s">
        <v>76</v>
      </c>
      <c r="C11">
        <v>3</v>
      </c>
      <c r="D11">
        <v>2</v>
      </c>
      <c r="E11">
        <v>5</v>
      </c>
    </row>
    <row r="12" spans="2:5" x14ac:dyDescent="0.35">
      <c r="B12" s="68" t="s">
        <v>8</v>
      </c>
      <c r="C12">
        <v>10</v>
      </c>
      <c r="E12">
        <v>10</v>
      </c>
    </row>
    <row r="13" spans="2:5" x14ac:dyDescent="0.35">
      <c r="B13" s="68" t="s">
        <v>82</v>
      </c>
      <c r="D13">
        <v>2</v>
      </c>
      <c r="E13">
        <v>2</v>
      </c>
    </row>
    <row r="14" spans="2:5" x14ac:dyDescent="0.35">
      <c r="B14" s="68" t="s">
        <v>4</v>
      </c>
      <c r="C14">
        <v>17</v>
      </c>
      <c r="D14">
        <v>9</v>
      </c>
      <c r="E14">
        <v>26</v>
      </c>
    </row>
    <row r="15" spans="2:5" x14ac:dyDescent="0.35">
      <c r="B15" s="68" t="s">
        <v>2</v>
      </c>
      <c r="C15">
        <v>4</v>
      </c>
      <c r="E15">
        <v>4</v>
      </c>
    </row>
    <row r="16" spans="2:5" x14ac:dyDescent="0.35">
      <c r="B16" s="68" t="s">
        <v>77</v>
      </c>
      <c r="C16">
        <v>9</v>
      </c>
      <c r="D16">
        <v>11</v>
      </c>
      <c r="E16">
        <v>20</v>
      </c>
    </row>
    <row r="17" spans="2:5" ht="20" x14ac:dyDescent="0.35">
      <c r="B17" s="34" t="s">
        <v>36</v>
      </c>
      <c r="D17">
        <v>6</v>
      </c>
      <c r="E17">
        <v>6</v>
      </c>
    </row>
    <row r="18" spans="2:5" x14ac:dyDescent="0.35">
      <c r="B18" s="68" t="s">
        <v>78</v>
      </c>
      <c r="C18">
        <v>1</v>
      </c>
      <c r="D18">
        <v>2</v>
      </c>
      <c r="E18">
        <v>3</v>
      </c>
    </row>
    <row r="19" spans="2:5" x14ac:dyDescent="0.35">
      <c r="B19" s="68" t="s">
        <v>15</v>
      </c>
      <c r="C19">
        <v>4</v>
      </c>
      <c r="E19">
        <v>4</v>
      </c>
    </row>
    <row r="20" spans="2:5" x14ac:dyDescent="0.35">
      <c r="B20" s="68" t="s">
        <v>7</v>
      </c>
      <c r="C20">
        <v>1</v>
      </c>
      <c r="E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D555-BA5E-41D3-8363-FE3D9A866E50}">
  <dimension ref="B1:E20"/>
  <sheetViews>
    <sheetView workbookViewId="0">
      <selection activeCell="B16" sqref="B16"/>
    </sheetView>
  </sheetViews>
  <sheetFormatPr defaultRowHeight="14.5" x14ac:dyDescent="0.35"/>
  <cols>
    <col min="1" max="1" width="4.90625" bestFit="1" customWidth="1"/>
    <col min="2" max="2" width="27.08984375" bestFit="1" customWidth="1"/>
    <col min="3" max="3" width="27.90625" bestFit="1" customWidth="1"/>
    <col min="4" max="4" width="21.54296875" bestFit="1" customWidth="1"/>
    <col min="5" max="5" width="38.7265625" bestFit="1" customWidth="1"/>
  </cols>
  <sheetData>
    <row r="1" spans="2:5" x14ac:dyDescent="0.35">
      <c r="C1" s="69" t="s">
        <v>80</v>
      </c>
      <c r="D1" s="69" t="s">
        <v>81</v>
      </c>
      <c r="E1" s="69" t="s">
        <v>31</v>
      </c>
    </row>
    <row r="2" spans="2:5" ht="20" x14ac:dyDescent="0.35">
      <c r="B2" s="34" t="s">
        <v>30</v>
      </c>
      <c r="C2">
        <v>1</v>
      </c>
      <c r="E2">
        <v>1</v>
      </c>
    </row>
    <row r="3" spans="2:5" x14ac:dyDescent="0.35">
      <c r="B3" s="68" t="s">
        <v>74</v>
      </c>
      <c r="C3">
        <v>8</v>
      </c>
      <c r="E3">
        <v>8</v>
      </c>
    </row>
    <row r="4" spans="2:5" x14ac:dyDescent="0.35">
      <c r="B4" s="68" t="s">
        <v>16</v>
      </c>
      <c r="C4">
        <v>12</v>
      </c>
      <c r="E4">
        <v>12</v>
      </c>
    </row>
    <row r="5" spans="2:5" x14ac:dyDescent="0.35">
      <c r="B5" s="68" t="s">
        <v>75</v>
      </c>
      <c r="C5">
        <v>1</v>
      </c>
      <c r="E5">
        <v>1</v>
      </c>
    </row>
    <row r="6" spans="2:5" ht="21" x14ac:dyDescent="0.35">
      <c r="B6" s="24" t="s">
        <v>29</v>
      </c>
      <c r="D6">
        <v>7</v>
      </c>
      <c r="E6">
        <v>7</v>
      </c>
    </row>
    <row r="7" spans="2:5" x14ac:dyDescent="0.35">
      <c r="B7" s="68" t="s">
        <v>5</v>
      </c>
      <c r="C7">
        <v>5</v>
      </c>
      <c r="E7">
        <v>5</v>
      </c>
    </row>
    <row r="8" spans="2:5" x14ac:dyDescent="0.35">
      <c r="B8" s="68" t="s">
        <v>0</v>
      </c>
      <c r="D8">
        <v>7</v>
      </c>
      <c r="E8">
        <v>7</v>
      </c>
    </row>
    <row r="9" spans="2:5" x14ac:dyDescent="0.35">
      <c r="B9" s="68" t="s">
        <v>1</v>
      </c>
      <c r="C9">
        <v>4</v>
      </c>
      <c r="D9">
        <v>9</v>
      </c>
      <c r="E9">
        <v>13</v>
      </c>
    </row>
    <row r="10" spans="2:5" x14ac:dyDescent="0.35">
      <c r="B10" s="68" t="s">
        <v>6</v>
      </c>
      <c r="C10">
        <v>3</v>
      </c>
      <c r="E10">
        <v>3</v>
      </c>
    </row>
    <row r="11" spans="2:5" x14ac:dyDescent="0.35">
      <c r="B11" s="68" t="s">
        <v>76</v>
      </c>
      <c r="D11">
        <v>1</v>
      </c>
      <c r="E11">
        <v>1</v>
      </c>
    </row>
    <row r="12" spans="2:5" x14ac:dyDescent="0.35">
      <c r="B12" s="68" t="s">
        <v>8</v>
      </c>
      <c r="C12">
        <v>12</v>
      </c>
      <c r="E12">
        <v>12</v>
      </c>
    </row>
    <row r="13" spans="2:5" x14ac:dyDescent="0.35">
      <c r="B13" s="68" t="s">
        <v>4</v>
      </c>
      <c r="C13">
        <v>5</v>
      </c>
      <c r="D13">
        <v>5</v>
      </c>
      <c r="E13">
        <v>10</v>
      </c>
    </row>
    <row r="14" spans="2:5" x14ac:dyDescent="0.35">
      <c r="B14" s="68" t="s">
        <v>2</v>
      </c>
      <c r="C14">
        <v>19</v>
      </c>
      <c r="E14">
        <v>19</v>
      </c>
    </row>
    <row r="15" spans="2:5" x14ac:dyDescent="0.35">
      <c r="B15" s="68" t="s">
        <v>77</v>
      </c>
      <c r="C15">
        <v>7</v>
      </c>
      <c r="D15">
        <v>6</v>
      </c>
      <c r="E15">
        <v>13</v>
      </c>
    </row>
    <row r="16" spans="2:5" ht="20" x14ac:dyDescent="0.35">
      <c r="B16" s="34" t="s">
        <v>36</v>
      </c>
      <c r="D16">
        <v>6</v>
      </c>
      <c r="E16">
        <v>6</v>
      </c>
    </row>
    <row r="17" spans="2:5" x14ac:dyDescent="0.35">
      <c r="B17" s="68" t="s">
        <v>78</v>
      </c>
      <c r="C17">
        <v>2</v>
      </c>
      <c r="E17">
        <v>2</v>
      </c>
    </row>
    <row r="18" spans="2:5" x14ac:dyDescent="0.35">
      <c r="B18" s="68" t="s">
        <v>15</v>
      </c>
      <c r="C18">
        <v>5</v>
      </c>
      <c r="E18">
        <v>5</v>
      </c>
    </row>
    <row r="19" spans="2:5" x14ac:dyDescent="0.35">
      <c r="B19" s="68" t="s">
        <v>79</v>
      </c>
      <c r="C19">
        <v>4</v>
      </c>
      <c r="E19">
        <v>4</v>
      </c>
    </row>
    <row r="20" spans="2:5" x14ac:dyDescent="0.35">
      <c r="B20" s="68" t="s">
        <v>7</v>
      </c>
      <c r="C20">
        <v>3</v>
      </c>
      <c r="E2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E4DD-A426-494B-9002-48C88C393EF8}">
  <sheetPr>
    <pageSetUpPr fitToPage="1"/>
  </sheetPr>
  <dimension ref="A1:P47"/>
  <sheetViews>
    <sheetView showGridLines="0" tabSelected="1" topLeftCell="A3" zoomScaleNormal="100" workbookViewId="0">
      <selection activeCell="C21" sqref="C21"/>
    </sheetView>
  </sheetViews>
  <sheetFormatPr defaultColWidth="8.81640625" defaultRowHeight="14.5" x14ac:dyDescent="0.35"/>
  <cols>
    <col min="1" max="1" width="5.453125" style="1" bestFit="1" customWidth="1"/>
    <col min="2" max="2" width="26" bestFit="1" customWidth="1"/>
    <col min="3" max="3" width="15" customWidth="1"/>
    <col min="4" max="4" width="16.36328125" customWidth="1"/>
    <col min="5" max="6" width="15" customWidth="1"/>
    <col min="7" max="7" width="25.36328125" customWidth="1"/>
    <col min="8" max="8" width="14.90625" customWidth="1"/>
    <col min="9" max="10" width="12.7265625" customWidth="1"/>
    <col min="11" max="11" width="12.90625" customWidth="1"/>
    <col min="12" max="12" width="25.7265625" bestFit="1" customWidth="1"/>
    <col min="13" max="13" width="15" customWidth="1"/>
  </cols>
  <sheetData>
    <row r="1" spans="1:16" ht="21" customHeight="1" x14ac:dyDescent="0.35">
      <c r="A1" s="81" t="s">
        <v>90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67"/>
    </row>
    <row r="2" spans="1:16" s="2" customFormat="1" ht="15.5" customHeight="1" x14ac:dyDescent="0.35">
      <c r="A2" s="91" t="s">
        <v>9</v>
      </c>
      <c r="B2" s="91" t="s">
        <v>32</v>
      </c>
      <c r="C2" s="77" t="s">
        <v>22</v>
      </c>
      <c r="D2" s="88" t="s">
        <v>65</v>
      </c>
      <c r="E2" s="89"/>
      <c r="F2" s="90"/>
      <c r="G2" s="77" t="s">
        <v>39</v>
      </c>
      <c r="H2" s="91" t="s">
        <v>67</v>
      </c>
      <c r="I2" s="77" t="s">
        <v>40</v>
      </c>
      <c r="J2" s="77" t="s">
        <v>68</v>
      </c>
      <c r="K2" s="77" t="s">
        <v>86</v>
      </c>
      <c r="L2" s="77" t="s">
        <v>33</v>
      </c>
      <c r="M2" s="77"/>
      <c r="N2" s="77" t="s">
        <v>42</v>
      </c>
      <c r="O2" s="77"/>
    </row>
    <row r="3" spans="1:16" s="2" customFormat="1" ht="62" x14ac:dyDescent="0.35">
      <c r="A3" s="92"/>
      <c r="B3" s="92"/>
      <c r="C3" s="77"/>
      <c r="D3" s="17" t="s">
        <v>89</v>
      </c>
      <c r="E3" s="17" t="s">
        <v>88</v>
      </c>
      <c r="F3" s="17" t="s">
        <v>66</v>
      </c>
      <c r="G3" s="77"/>
      <c r="H3" s="92"/>
      <c r="I3" s="77"/>
      <c r="J3" s="77"/>
      <c r="K3" s="77"/>
      <c r="L3" s="7" t="s">
        <v>20</v>
      </c>
      <c r="M3" s="7" t="s">
        <v>21</v>
      </c>
      <c r="N3" s="7" t="s">
        <v>20</v>
      </c>
      <c r="O3" s="7" t="s">
        <v>21</v>
      </c>
    </row>
    <row r="4" spans="1:16" ht="17" customHeight="1" x14ac:dyDescent="0.35">
      <c r="A4" s="10">
        <v>1</v>
      </c>
      <c r="B4" s="12" t="s">
        <v>15</v>
      </c>
      <c r="C4" s="10">
        <v>143</v>
      </c>
      <c r="D4" s="10">
        <v>10</v>
      </c>
      <c r="E4" s="10">
        <v>0</v>
      </c>
      <c r="F4" s="10">
        <v>10</v>
      </c>
      <c r="G4" s="11">
        <v>10</v>
      </c>
      <c r="H4" s="11">
        <v>100</v>
      </c>
      <c r="I4" s="11">
        <v>63.400000000000006</v>
      </c>
      <c r="J4" s="11">
        <v>24</v>
      </c>
      <c r="K4" s="11">
        <v>10</v>
      </c>
      <c r="L4" s="11">
        <v>148</v>
      </c>
      <c r="M4" s="11">
        <v>196</v>
      </c>
      <c r="N4" s="8">
        <v>149.37985714285716</v>
      </c>
      <c r="O4" s="8">
        <v>208.44999999999996</v>
      </c>
    </row>
    <row r="5" spans="1:16" ht="17" customHeight="1" x14ac:dyDescent="0.35">
      <c r="A5" s="10">
        <v>2</v>
      </c>
      <c r="B5" s="12" t="s">
        <v>7</v>
      </c>
      <c r="C5" s="10">
        <v>129</v>
      </c>
      <c r="D5" s="10">
        <v>6</v>
      </c>
      <c r="E5" s="10">
        <v>3</v>
      </c>
      <c r="F5" s="10">
        <v>9</v>
      </c>
      <c r="G5" s="11">
        <v>11</v>
      </c>
      <c r="H5" s="11">
        <v>74</v>
      </c>
      <c r="I5" s="11">
        <v>51</v>
      </c>
      <c r="J5" s="11">
        <v>16</v>
      </c>
      <c r="K5" s="11">
        <v>3</v>
      </c>
      <c r="L5" s="11">
        <v>88</v>
      </c>
      <c r="M5" s="11">
        <v>156</v>
      </c>
      <c r="N5" s="8">
        <v>127.40100000000001</v>
      </c>
      <c r="O5" s="8">
        <v>193.99685714285712</v>
      </c>
    </row>
    <row r="6" spans="1:16" ht="17" customHeight="1" x14ac:dyDescent="0.35">
      <c r="A6" s="10">
        <v>3</v>
      </c>
      <c r="B6" s="14" t="s">
        <v>27</v>
      </c>
      <c r="C6" s="10">
        <v>53</v>
      </c>
      <c r="D6" s="10">
        <v>1</v>
      </c>
      <c r="E6" s="10">
        <v>0</v>
      </c>
      <c r="F6" s="10">
        <v>1</v>
      </c>
      <c r="G6" s="11">
        <v>3</v>
      </c>
      <c r="H6" s="11">
        <v>20</v>
      </c>
      <c r="I6" s="11">
        <v>11.4</v>
      </c>
      <c r="J6" s="11">
        <v>8</v>
      </c>
      <c r="K6" s="11">
        <v>2</v>
      </c>
      <c r="L6" s="11">
        <v>41</v>
      </c>
      <c r="M6" s="11">
        <v>68</v>
      </c>
      <c r="N6" s="8">
        <v>34.800714285714292</v>
      </c>
      <c r="O6" s="8">
        <v>51.378285714285717</v>
      </c>
    </row>
    <row r="7" spans="1:16" ht="17" customHeight="1" x14ac:dyDescent="0.35">
      <c r="A7" s="10">
        <v>4</v>
      </c>
      <c r="B7" s="14" t="s">
        <v>34</v>
      </c>
      <c r="C7" s="10">
        <v>122</v>
      </c>
      <c r="D7" s="10">
        <v>0</v>
      </c>
      <c r="E7" s="10">
        <v>3</v>
      </c>
      <c r="F7" s="10">
        <v>3</v>
      </c>
      <c r="G7" s="11">
        <v>1</v>
      </c>
      <c r="H7" s="11">
        <v>81</v>
      </c>
      <c r="I7" s="11">
        <v>58</v>
      </c>
      <c r="J7" s="11">
        <v>39</v>
      </c>
      <c r="K7" s="11">
        <v>8</v>
      </c>
      <c r="L7" s="11">
        <v>303</v>
      </c>
      <c r="M7" s="11">
        <v>381</v>
      </c>
      <c r="N7" s="8">
        <v>269.71471428571431</v>
      </c>
      <c r="O7" s="8">
        <v>342.29928571428576</v>
      </c>
    </row>
    <row r="8" spans="1:16" ht="17" customHeight="1" x14ac:dyDescent="0.35">
      <c r="A8" s="10">
        <v>5</v>
      </c>
      <c r="B8" s="12" t="s">
        <v>14</v>
      </c>
      <c r="C8" s="10">
        <v>161</v>
      </c>
      <c r="D8" s="10">
        <v>0</v>
      </c>
      <c r="E8" s="10">
        <v>0</v>
      </c>
      <c r="F8" s="10">
        <v>0</v>
      </c>
      <c r="G8" s="11">
        <v>5</v>
      </c>
      <c r="H8" s="11">
        <v>116</v>
      </c>
      <c r="I8" s="11">
        <v>76.800000000000011</v>
      </c>
      <c r="J8" s="11">
        <v>43</v>
      </c>
      <c r="K8" s="11">
        <v>8</v>
      </c>
      <c r="L8" s="11">
        <v>180</v>
      </c>
      <c r="M8" s="11">
        <v>511</v>
      </c>
      <c r="N8" s="8">
        <v>129.03085714285717</v>
      </c>
      <c r="O8" s="8">
        <v>404.67900000000003</v>
      </c>
    </row>
    <row r="9" spans="1:16" ht="17" customHeight="1" x14ac:dyDescent="0.35">
      <c r="A9" s="10">
        <v>6</v>
      </c>
      <c r="B9" s="12" t="s">
        <v>17</v>
      </c>
      <c r="C9" s="10">
        <v>12</v>
      </c>
      <c r="D9" s="10">
        <v>0</v>
      </c>
      <c r="E9" s="10">
        <v>1</v>
      </c>
      <c r="F9" s="10">
        <v>1</v>
      </c>
      <c r="G9" s="11">
        <v>3</v>
      </c>
      <c r="H9" s="11">
        <v>1</v>
      </c>
      <c r="I9" s="11">
        <v>0.8</v>
      </c>
      <c r="J9" s="11">
        <v>1</v>
      </c>
      <c r="K9" s="11">
        <v>0</v>
      </c>
      <c r="L9" s="11">
        <v>3</v>
      </c>
      <c r="M9" s="11">
        <v>8</v>
      </c>
      <c r="N9" s="8">
        <v>4.2</v>
      </c>
      <c r="O9" s="8">
        <v>3.1</v>
      </c>
    </row>
    <row r="10" spans="1:16" ht="17" customHeight="1" x14ac:dyDescent="0.35">
      <c r="A10" s="10">
        <v>7</v>
      </c>
      <c r="B10" s="12" t="s">
        <v>5</v>
      </c>
      <c r="C10" s="10">
        <v>192</v>
      </c>
      <c r="D10" s="10">
        <v>6</v>
      </c>
      <c r="E10" s="10">
        <v>5</v>
      </c>
      <c r="F10" s="10">
        <v>11</v>
      </c>
      <c r="G10" s="11">
        <v>10</v>
      </c>
      <c r="H10" s="11">
        <v>125</v>
      </c>
      <c r="I10" s="11">
        <v>65.400000000000006</v>
      </c>
      <c r="J10" s="11">
        <v>54</v>
      </c>
      <c r="K10" s="11">
        <v>13</v>
      </c>
      <c r="L10" s="11">
        <v>255</v>
      </c>
      <c r="M10" s="11">
        <v>487</v>
      </c>
      <c r="N10" s="8">
        <v>197.86485714285718</v>
      </c>
      <c r="O10" s="8">
        <v>325.07128571428564</v>
      </c>
    </row>
    <row r="11" spans="1:16" ht="17" customHeight="1" x14ac:dyDescent="0.35">
      <c r="A11" s="10">
        <v>8</v>
      </c>
      <c r="B11" s="12" t="s">
        <v>6</v>
      </c>
      <c r="C11" s="10">
        <v>182</v>
      </c>
      <c r="D11" s="10">
        <v>17</v>
      </c>
      <c r="E11" s="10">
        <v>0</v>
      </c>
      <c r="F11" s="10">
        <v>17</v>
      </c>
      <c r="G11" s="11">
        <v>15</v>
      </c>
      <c r="H11" s="11">
        <v>94</v>
      </c>
      <c r="I11" s="11">
        <v>62.6</v>
      </c>
      <c r="J11" s="11">
        <v>40</v>
      </c>
      <c r="K11" s="11">
        <v>11</v>
      </c>
      <c r="L11" s="11">
        <v>229</v>
      </c>
      <c r="M11" s="11">
        <v>379</v>
      </c>
      <c r="N11" s="8">
        <v>157.36342857142853</v>
      </c>
      <c r="O11" s="8">
        <v>295.61199999999997</v>
      </c>
    </row>
    <row r="12" spans="1:16" ht="17" customHeight="1" x14ac:dyDescent="0.35">
      <c r="A12" s="10">
        <v>9</v>
      </c>
      <c r="B12" s="14" t="s">
        <v>30</v>
      </c>
      <c r="C12" s="10">
        <v>22</v>
      </c>
      <c r="D12" s="10">
        <v>3</v>
      </c>
      <c r="E12" s="10">
        <v>0</v>
      </c>
      <c r="F12" s="10">
        <v>3</v>
      </c>
      <c r="G12" s="11">
        <v>3</v>
      </c>
      <c r="H12" s="11">
        <v>13</v>
      </c>
      <c r="I12" s="11">
        <v>7.6</v>
      </c>
      <c r="J12" s="11">
        <v>8</v>
      </c>
      <c r="K12" s="11">
        <v>2</v>
      </c>
      <c r="L12" s="11">
        <v>42</v>
      </c>
      <c r="M12" s="11">
        <v>55</v>
      </c>
      <c r="N12" s="8">
        <v>32.305285714285716</v>
      </c>
      <c r="O12" s="8">
        <v>56.85971428571429</v>
      </c>
    </row>
    <row r="13" spans="1:16" ht="17" customHeight="1" x14ac:dyDescent="0.35">
      <c r="A13" s="10">
        <v>10</v>
      </c>
      <c r="B13" s="14" t="s">
        <v>29</v>
      </c>
      <c r="C13" s="10">
        <v>108</v>
      </c>
      <c r="D13" s="10">
        <v>7</v>
      </c>
      <c r="E13" s="10">
        <v>3</v>
      </c>
      <c r="F13" s="10">
        <v>10</v>
      </c>
      <c r="G13" s="11">
        <v>15</v>
      </c>
      <c r="H13" s="11">
        <v>60</v>
      </c>
      <c r="I13" s="11">
        <v>34.799999999999997</v>
      </c>
      <c r="J13" s="11">
        <v>23</v>
      </c>
      <c r="K13" s="11">
        <v>4</v>
      </c>
      <c r="L13" s="11">
        <v>117</v>
      </c>
      <c r="M13" s="11">
        <v>221</v>
      </c>
      <c r="N13" s="8">
        <v>125.85257142857142</v>
      </c>
      <c r="O13" s="8">
        <v>185.55699999999999</v>
      </c>
    </row>
    <row r="14" spans="1:16" ht="17" customHeight="1" x14ac:dyDescent="0.35">
      <c r="A14" s="10">
        <v>11</v>
      </c>
      <c r="B14" s="12" t="s">
        <v>3</v>
      </c>
      <c r="C14" s="10">
        <v>161</v>
      </c>
      <c r="D14" s="10">
        <v>24</v>
      </c>
      <c r="E14" s="10">
        <v>2</v>
      </c>
      <c r="F14" s="10">
        <v>26</v>
      </c>
      <c r="G14" s="11">
        <v>15</v>
      </c>
      <c r="H14" s="11">
        <v>100</v>
      </c>
      <c r="I14" s="11">
        <v>46.6</v>
      </c>
      <c r="J14" s="11">
        <v>33</v>
      </c>
      <c r="K14" s="11">
        <v>12</v>
      </c>
      <c r="L14" s="11">
        <v>164</v>
      </c>
      <c r="M14" s="11">
        <v>314</v>
      </c>
      <c r="N14" s="8">
        <v>155.95928571428576</v>
      </c>
      <c r="O14" s="8">
        <v>298.94414285714288</v>
      </c>
    </row>
    <row r="15" spans="1:16" ht="17" customHeight="1" x14ac:dyDescent="0.35">
      <c r="A15" s="10">
        <v>12</v>
      </c>
      <c r="B15" s="12" t="s">
        <v>0</v>
      </c>
      <c r="C15" s="10">
        <v>227</v>
      </c>
      <c r="D15" s="10">
        <v>19</v>
      </c>
      <c r="E15" s="10">
        <v>1</v>
      </c>
      <c r="F15" s="10">
        <v>20</v>
      </c>
      <c r="G15" s="11">
        <v>12</v>
      </c>
      <c r="H15" s="11">
        <v>131</v>
      </c>
      <c r="I15" s="11">
        <v>83</v>
      </c>
      <c r="J15" s="11">
        <v>27</v>
      </c>
      <c r="K15" s="11">
        <v>11</v>
      </c>
      <c r="L15" s="11">
        <v>169</v>
      </c>
      <c r="M15" s="11">
        <v>236</v>
      </c>
      <c r="N15" s="8">
        <v>156.30028571428574</v>
      </c>
      <c r="O15" s="8">
        <v>286.05599999999993</v>
      </c>
    </row>
    <row r="16" spans="1:16" ht="17" customHeight="1" x14ac:dyDescent="0.35">
      <c r="A16" s="10">
        <v>13</v>
      </c>
      <c r="B16" s="12" t="s">
        <v>1</v>
      </c>
      <c r="C16" s="10">
        <v>195</v>
      </c>
      <c r="D16" s="10">
        <v>9</v>
      </c>
      <c r="E16" s="10">
        <v>7</v>
      </c>
      <c r="F16" s="10">
        <v>16</v>
      </c>
      <c r="G16" s="11">
        <v>25</v>
      </c>
      <c r="H16" s="11">
        <v>150</v>
      </c>
      <c r="I16" s="11">
        <v>95.2</v>
      </c>
      <c r="J16" s="11">
        <v>40</v>
      </c>
      <c r="K16" s="11">
        <v>25</v>
      </c>
      <c r="L16" s="11">
        <v>238</v>
      </c>
      <c r="M16" s="11">
        <v>385</v>
      </c>
      <c r="N16" s="8">
        <v>203.4495714285714</v>
      </c>
      <c r="O16" s="8">
        <v>308.95614285714282</v>
      </c>
    </row>
    <row r="17" spans="1:15" ht="17" customHeight="1" x14ac:dyDescent="0.35">
      <c r="A17" s="10">
        <v>14</v>
      </c>
      <c r="B17" s="12" t="s">
        <v>4</v>
      </c>
      <c r="C17" s="10">
        <v>186</v>
      </c>
      <c r="D17" s="10">
        <v>19</v>
      </c>
      <c r="E17" s="10">
        <v>6</v>
      </c>
      <c r="F17" s="10">
        <v>25</v>
      </c>
      <c r="G17" s="11">
        <v>20</v>
      </c>
      <c r="H17" s="11">
        <v>162</v>
      </c>
      <c r="I17" s="11">
        <v>105.4</v>
      </c>
      <c r="J17" s="11">
        <v>36</v>
      </c>
      <c r="K17" s="11">
        <v>14</v>
      </c>
      <c r="L17" s="11">
        <v>231</v>
      </c>
      <c r="M17" s="11">
        <v>318</v>
      </c>
      <c r="N17" s="8">
        <v>203.95042857142855</v>
      </c>
      <c r="O17" s="8">
        <v>354.29757142857136</v>
      </c>
    </row>
    <row r="18" spans="1:15" ht="17" customHeight="1" x14ac:dyDescent="0.35">
      <c r="A18" s="10">
        <v>15</v>
      </c>
      <c r="B18" s="12" t="s">
        <v>87</v>
      </c>
      <c r="C18" s="10">
        <v>175</v>
      </c>
      <c r="D18" s="10">
        <v>0</v>
      </c>
      <c r="E18" s="10">
        <v>0</v>
      </c>
      <c r="F18" s="10">
        <v>0</v>
      </c>
      <c r="G18" s="11">
        <v>9</v>
      </c>
      <c r="H18" s="11">
        <v>101</v>
      </c>
      <c r="I18" s="11">
        <v>50.400000000000006</v>
      </c>
      <c r="J18" s="11">
        <v>41</v>
      </c>
      <c r="K18" s="11">
        <v>29</v>
      </c>
      <c r="L18" s="11">
        <v>221</v>
      </c>
      <c r="M18" s="11">
        <v>355</v>
      </c>
      <c r="N18" s="8">
        <v>159.65142857142851</v>
      </c>
      <c r="O18" s="8">
        <v>276.02800000000002</v>
      </c>
    </row>
    <row r="19" spans="1:15" ht="17" customHeight="1" x14ac:dyDescent="0.35">
      <c r="A19" s="10">
        <v>16</v>
      </c>
      <c r="B19" s="12" t="s">
        <v>16</v>
      </c>
      <c r="C19" s="10">
        <v>106</v>
      </c>
      <c r="D19" s="10">
        <v>28</v>
      </c>
      <c r="E19" s="10">
        <v>2</v>
      </c>
      <c r="F19" s="10">
        <v>30</v>
      </c>
      <c r="G19" s="11">
        <v>18</v>
      </c>
      <c r="H19" s="11">
        <v>88</v>
      </c>
      <c r="I19" s="11">
        <v>60.2</v>
      </c>
      <c r="J19" s="11">
        <v>30</v>
      </c>
      <c r="K19" s="11">
        <v>13</v>
      </c>
      <c r="L19" s="11">
        <v>167</v>
      </c>
      <c r="M19" s="11">
        <v>275</v>
      </c>
      <c r="N19" s="8">
        <v>97.1177142857143</v>
      </c>
      <c r="O19" s="8">
        <v>166.22742857142856</v>
      </c>
    </row>
    <row r="20" spans="1:15" ht="17" customHeight="1" x14ac:dyDescent="0.35">
      <c r="A20" s="10">
        <v>17</v>
      </c>
      <c r="B20" s="12" t="s">
        <v>2</v>
      </c>
      <c r="C20" s="10">
        <v>190</v>
      </c>
      <c r="D20" s="10">
        <v>22</v>
      </c>
      <c r="E20" s="10">
        <v>0</v>
      </c>
      <c r="F20" s="10">
        <v>22</v>
      </c>
      <c r="G20" s="11">
        <v>23</v>
      </c>
      <c r="H20" s="11">
        <v>161</v>
      </c>
      <c r="I20" s="11">
        <v>98.6</v>
      </c>
      <c r="J20" s="11">
        <v>57</v>
      </c>
      <c r="K20" s="11">
        <v>24</v>
      </c>
      <c r="L20" s="11">
        <v>270</v>
      </c>
      <c r="M20" s="11">
        <v>505</v>
      </c>
      <c r="N20" s="8">
        <v>140.04999999999998</v>
      </c>
      <c r="O20" s="8">
        <v>314.58428571428578</v>
      </c>
    </row>
    <row r="21" spans="1:15" ht="17" customHeight="1" x14ac:dyDescent="0.35">
      <c r="A21" s="10">
        <v>18</v>
      </c>
      <c r="B21" s="14" t="s">
        <v>35</v>
      </c>
      <c r="C21" s="10">
        <v>179</v>
      </c>
      <c r="D21" s="10">
        <v>1</v>
      </c>
      <c r="E21" s="10">
        <v>0</v>
      </c>
      <c r="F21" s="10">
        <v>1</v>
      </c>
      <c r="G21" s="11">
        <v>19</v>
      </c>
      <c r="H21" s="11">
        <v>144</v>
      </c>
      <c r="I21" s="11">
        <v>77.2</v>
      </c>
      <c r="J21" s="11">
        <v>41</v>
      </c>
      <c r="K21" s="11">
        <v>5</v>
      </c>
      <c r="L21" s="11">
        <v>173</v>
      </c>
      <c r="M21" s="11">
        <v>434</v>
      </c>
      <c r="N21" s="8">
        <v>100.31944428571427</v>
      </c>
      <c r="O21" s="8">
        <v>181.92581857142858</v>
      </c>
    </row>
    <row r="22" spans="1:15" ht="17" customHeight="1" x14ac:dyDescent="0.35">
      <c r="A22" s="10">
        <v>19</v>
      </c>
      <c r="B22" s="12" t="s">
        <v>76</v>
      </c>
      <c r="C22" s="10">
        <v>165</v>
      </c>
      <c r="D22" s="10">
        <v>3</v>
      </c>
      <c r="E22" s="10">
        <v>1</v>
      </c>
      <c r="F22" s="10">
        <v>4</v>
      </c>
      <c r="G22" s="11">
        <v>12</v>
      </c>
      <c r="H22" s="11">
        <v>69</v>
      </c>
      <c r="I22" s="11">
        <v>44.4</v>
      </c>
      <c r="J22" s="11">
        <v>31</v>
      </c>
      <c r="K22" s="11">
        <v>7</v>
      </c>
      <c r="L22" s="11">
        <v>167</v>
      </c>
      <c r="M22" s="11">
        <v>309</v>
      </c>
      <c r="N22" s="8">
        <v>163.14623285714288</v>
      </c>
      <c r="O22" s="8">
        <v>209.83285142857147</v>
      </c>
    </row>
    <row r="23" spans="1:15" ht="17" customHeight="1" x14ac:dyDescent="0.35">
      <c r="A23" s="10">
        <v>20</v>
      </c>
      <c r="B23" s="14" t="s">
        <v>28</v>
      </c>
      <c r="C23" s="10">
        <v>231</v>
      </c>
      <c r="D23" s="10">
        <v>32</v>
      </c>
      <c r="E23" s="10">
        <v>0</v>
      </c>
      <c r="F23" s="10">
        <v>32</v>
      </c>
      <c r="G23" s="11">
        <v>19</v>
      </c>
      <c r="H23" s="11">
        <v>91</v>
      </c>
      <c r="I23" s="11">
        <v>37.4</v>
      </c>
      <c r="J23" s="11">
        <v>25</v>
      </c>
      <c r="K23" s="11">
        <v>1</v>
      </c>
      <c r="L23" s="11">
        <v>108</v>
      </c>
      <c r="M23" s="11">
        <v>234</v>
      </c>
      <c r="N23" s="8">
        <v>153.68889000000004</v>
      </c>
      <c r="O23" s="8">
        <v>301.96639714285709</v>
      </c>
    </row>
    <row r="24" spans="1:15" ht="17" customHeight="1" x14ac:dyDescent="0.35">
      <c r="A24" s="10">
        <v>21</v>
      </c>
      <c r="B24" s="14" t="s">
        <v>23</v>
      </c>
      <c r="C24" s="10">
        <v>212</v>
      </c>
      <c r="D24" s="10">
        <v>11</v>
      </c>
      <c r="E24" s="10">
        <v>1</v>
      </c>
      <c r="F24" s="10">
        <v>12</v>
      </c>
      <c r="G24" s="11">
        <v>22</v>
      </c>
      <c r="H24" s="11">
        <v>108</v>
      </c>
      <c r="I24" s="11">
        <v>47</v>
      </c>
      <c r="J24" s="11">
        <v>46</v>
      </c>
      <c r="K24" s="11">
        <v>8</v>
      </c>
      <c r="L24" s="11">
        <v>216</v>
      </c>
      <c r="M24" s="11">
        <v>467</v>
      </c>
      <c r="N24" s="8">
        <v>163.77510571428573</v>
      </c>
      <c r="O24" s="8">
        <v>242.23333857142859</v>
      </c>
    </row>
    <row r="25" spans="1:15" ht="17" customHeight="1" x14ac:dyDescent="0.35">
      <c r="A25" s="10">
        <v>22</v>
      </c>
      <c r="B25" s="14" t="s">
        <v>36</v>
      </c>
      <c r="C25" s="10">
        <v>271</v>
      </c>
      <c r="D25" s="10">
        <v>5</v>
      </c>
      <c r="E25" s="10">
        <v>6</v>
      </c>
      <c r="F25" s="10">
        <v>11</v>
      </c>
      <c r="G25" s="11">
        <v>12</v>
      </c>
      <c r="H25" s="11">
        <v>119.00000000000001</v>
      </c>
      <c r="I25" s="11">
        <v>71.2</v>
      </c>
      <c r="J25" s="11">
        <v>30</v>
      </c>
      <c r="K25" s="11">
        <v>12</v>
      </c>
      <c r="L25" s="11">
        <v>182</v>
      </c>
      <c r="M25" s="11">
        <v>296</v>
      </c>
      <c r="N25" s="8">
        <v>169.01085714285713</v>
      </c>
      <c r="O25" s="8">
        <v>361.03085714285714</v>
      </c>
    </row>
    <row r="26" spans="1:15" ht="17" customHeight="1" x14ac:dyDescent="0.35">
      <c r="A26" s="10">
        <v>23</v>
      </c>
      <c r="B26" s="14" t="s">
        <v>25</v>
      </c>
      <c r="C26" s="10">
        <v>210</v>
      </c>
      <c r="D26" s="10">
        <v>16</v>
      </c>
      <c r="E26" s="10">
        <v>0</v>
      </c>
      <c r="F26" s="10">
        <v>16</v>
      </c>
      <c r="G26" s="11">
        <v>14</v>
      </c>
      <c r="H26" s="11">
        <v>159</v>
      </c>
      <c r="I26" s="11">
        <v>93.2</v>
      </c>
      <c r="J26" s="11">
        <v>65</v>
      </c>
      <c r="K26" s="11">
        <v>10</v>
      </c>
      <c r="L26" s="11">
        <v>375</v>
      </c>
      <c r="M26" s="11">
        <v>625</v>
      </c>
      <c r="N26" s="8">
        <v>195.9015714285714</v>
      </c>
      <c r="O26" s="8">
        <v>297.34371428571433</v>
      </c>
    </row>
    <row r="27" spans="1:15" ht="17" customHeight="1" x14ac:dyDescent="0.35">
      <c r="A27" s="10">
        <v>24</v>
      </c>
      <c r="B27" s="12" t="s">
        <v>8</v>
      </c>
      <c r="C27" s="10">
        <v>67</v>
      </c>
      <c r="D27" s="10">
        <v>17</v>
      </c>
      <c r="E27" s="10">
        <v>5</v>
      </c>
      <c r="F27" s="10">
        <v>22</v>
      </c>
      <c r="G27" s="11">
        <v>18</v>
      </c>
      <c r="H27" s="11">
        <v>18</v>
      </c>
      <c r="I27" s="11">
        <v>18</v>
      </c>
      <c r="J27" s="11">
        <v>5</v>
      </c>
      <c r="K27" s="11">
        <v>1</v>
      </c>
      <c r="L27" s="11">
        <v>37</v>
      </c>
      <c r="M27" s="11">
        <v>41</v>
      </c>
      <c r="N27" s="8">
        <v>26</v>
      </c>
      <c r="O27" s="8">
        <v>39</v>
      </c>
    </row>
    <row r="28" spans="1:15" ht="17" customHeight="1" x14ac:dyDescent="0.35">
      <c r="A28" s="10">
        <v>25</v>
      </c>
      <c r="B28" s="14" t="s">
        <v>26</v>
      </c>
      <c r="C28" s="10">
        <v>222</v>
      </c>
      <c r="D28" s="10">
        <v>30</v>
      </c>
      <c r="E28" s="10">
        <v>12</v>
      </c>
      <c r="F28" s="10">
        <v>42</v>
      </c>
      <c r="G28" s="11">
        <v>21</v>
      </c>
      <c r="H28" s="11">
        <v>163</v>
      </c>
      <c r="I28" s="11">
        <v>97.6</v>
      </c>
      <c r="J28" s="11">
        <v>61</v>
      </c>
      <c r="K28" s="11">
        <v>24</v>
      </c>
      <c r="L28" s="11">
        <v>297</v>
      </c>
      <c r="M28" s="11">
        <v>590</v>
      </c>
      <c r="N28" s="8">
        <v>139.40042857142851</v>
      </c>
      <c r="O28" s="8">
        <v>207.69785714285712</v>
      </c>
    </row>
    <row r="29" spans="1:15" ht="17" customHeight="1" x14ac:dyDescent="0.35">
      <c r="A29" s="10">
        <v>26</v>
      </c>
      <c r="B29" s="14" t="s">
        <v>24</v>
      </c>
      <c r="C29" s="10">
        <v>159</v>
      </c>
      <c r="D29" s="10">
        <v>4</v>
      </c>
      <c r="E29" s="10">
        <v>1</v>
      </c>
      <c r="F29" s="10">
        <v>5</v>
      </c>
      <c r="G29" s="11">
        <v>4</v>
      </c>
      <c r="H29" s="11">
        <v>63</v>
      </c>
      <c r="I29" s="11">
        <v>35.6</v>
      </c>
      <c r="J29" s="11">
        <v>34</v>
      </c>
      <c r="K29" s="11">
        <v>1</v>
      </c>
      <c r="L29" s="11">
        <v>107</v>
      </c>
      <c r="M29" s="11">
        <v>135</v>
      </c>
      <c r="N29" s="8">
        <v>96.129142857142853</v>
      </c>
      <c r="O29" s="8">
        <v>107.53114285714287</v>
      </c>
    </row>
    <row r="30" spans="1:15" ht="17" customHeight="1" x14ac:dyDescent="0.35">
      <c r="A30" s="10">
        <v>27</v>
      </c>
      <c r="B30" s="14" t="s">
        <v>37</v>
      </c>
      <c r="C30" s="10">
        <v>136</v>
      </c>
      <c r="D30" s="10">
        <v>10</v>
      </c>
      <c r="E30" s="10">
        <v>17</v>
      </c>
      <c r="F30" s="10">
        <v>27</v>
      </c>
      <c r="G30" s="11">
        <v>9</v>
      </c>
      <c r="H30" s="11">
        <v>65</v>
      </c>
      <c r="I30" s="11">
        <v>26.2</v>
      </c>
      <c r="J30" s="11">
        <v>27</v>
      </c>
      <c r="K30" s="11">
        <v>2</v>
      </c>
      <c r="L30" s="11">
        <v>171</v>
      </c>
      <c r="M30" s="11">
        <v>230</v>
      </c>
      <c r="N30" s="8">
        <v>95.014205714285694</v>
      </c>
      <c r="O30" s="8">
        <v>141.43481714285716</v>
      </c>
    </row>
    <row r="31" spans="1:15" ht="17" customHeight="1" x14ac:dyDescent="0.35">
      <c r="A31" s="10">
        <v>28</v>
      </c>
      <c r="B31" s="14" t="s">
        <v>38</v>
      </c>
      <c r="C31" s="10">
        <v>129</v>
      </c>
      <c r="D31" s="10">
        <v>2</v>
      </c>
      <c r="E31" s="10">
        <v>0</v>
      </c>
      <c r="F31" s="10">
        <v>2</v>
      </c>
      <c r="G31" s="11">
        <v>2</v>
      </c>
      <c r="H31" s="11">
        <v>75</v>
      </c>
      <c r="I31" s="11">
        <v>41.400000000000006</v>
      </c>
      <c r="J31" s="11">
        <v>31</v>
      </c>
      <c r="K31" s="11">
        <v>12</v>
      </c>
      <c r="L31" s="11">
        <v>171</v>
      </c>
      <c r="M31" s="11">
        <v>259</v>
      </c>
      <c r="N31" s="8">
        <v>82.688015714285726</v>
      </c>
      <c r="O31" s="8">
        <v>101.69955142857145</v>
      </c>
    </row>
    <row r="32" spans="1:15" ht="17" customHeight="1" x14ac:dyDescent="0.35">
      <c r="A32" s="93" t="s">
        <v>18</v>
      </c>
      <c r="B32" s="93"/>
      <c r="C32" s="9">
        <f>SUM(C4:C31)</f>
        <v>4345</v>
      </c>
      <c r="D32" s="9">
        <f t="shared" ref="D32:F32" si="0">SUM(D4:D31)</f>
        <v>302</v>
      </c>
      <c r="E32" s="9">
        <f t="shared" si="0"/>
        <v>76</v>
      </c>
      <c r="F32" s="9">
        <f t="shared" si="0"/>
        <v>378</v>
      </c>
      <c r="G32" s="13">
        <f>SUM(G4:G31)</f>
        <v>350</v>
      </c>
      <c r="H32" s="13">
        <f t="shared" ref="H32:O32" si="1">SUM(H4:H31)</f>
        <v>2651</v>
      </c>
      <c r="I32" s="13">
        <f t="shared" si="1"/>
        <v>1560.4000000000003</v>
      </c>
      <c r="J32" s="13">
        <f t="shared" si="1"/>
        <v>916</v>
      </c>
      <c r="K32" s="13">
        <f t="shared" si="1"/>
        <v>272</v>
      </c>
      <c r="L32" s="13">
        <f t="shared" si="1"/>
        <v>4870</v>
      </c>
      <c r="M32" s="13">
        <f t="shared" si="1"/>
        <v>8470</v>
      </c>
      <c r="N32" s="13">
        <f t="shared" si="1"/>
        <v>3729.4658942857154</v>
      </c>
      <c r="O32" s="13">
        <f t="shared" si="1"/>
        <v>6263.7933457142854</v>
      </c>
    </row>
    <row r="34" spans="2:13" ht="15.5" x14ac:dyDescent="0.35">
      <c r="B34" s="82" t="s">
        <v>53</v>
      </c>
      <c r="C34" s="83"/>
      <c r="G34" s="84" t="s">
        <v>61</v>
      </c>
      <c r="H34" s="85"/>
      <c r="L34" s="86" t="s">
        <v>63</v>
      </c>
      <c r="M34" s="87"/>
    </row>
    <row r="35" spans="2:13" ht="15.5" x14ac:dyDescent="0.35">
      <c r="B35" s="54" t="s">
        <v>55</v>
      </c>
      <c r="C35" s="63">
        <v>340</v>
      </c>
      <c r="G35" s="57" t="s">
        <v>55</v>
      </c>
      <c r="H35" s="62">
        <v>310</v>
      </c>
      <c r="L35" s="60" t="s">
        <v>55</v>
      </c>
      <c r="M35" s="64">
        <v>310</v>
      </c>
    </row>
    <row r="36" spans="2:13" ht="29" x14ac:dyDescent="0.35">
      <c r="B36" s="54" t="s">
        <v>56</v>
      </c>
      <c r="C36" s="63">
        <v>2120</v>
      </c>
      <c r="G36" s="57" t="s">
        <v>56</v>
      </c>
      <c r="H36" s="62">
        <v>1800</v>
      </c>
      <c r="L36" s="60" t="s">
        <v>56</v>
      </c>
      <c r="M36" s="64">
        <v>1730</v>
      </c>
    </row>
    <row r="37" spans="2:13" ht="29" x14ac:dyDescent="0.35">
      <c r="B37" s="54" t="s">
        <v>57</v>
      </c>
      <c r="C37" s="63">
        <v>3250</v>
      </c>
      <c r="G37" s="57" t="s">
        <v>57</v>
      </c>
      <c r="H37" s="62">
        <v>2365</v>
      </c>
      <c r="L37" s="60" t="s">
        <v>57</v>
      </c>
      <c r="M37" s="64">
        <v>2890</v>
      </c>
    </row>
    <row r="38" spans="2:13" x14ac:dyDescent="0.35">
      <c r="B38" s="56"/>
      <c r="C38" s="55"/>
      <c r="G38" s="56"/>
      <c r="H38" s="55"/>
      <c r="L38" s="56"/>
      <c r="M38" s="55"/>
    </row>
    <row r="39" spans="2:13" ht="15.5" x14ac:dyDescent="0.35">
      <c r="B39" s="82" t="s">
        <v>54</v>
      </c>
      <c r="C39" s="83"/>
      <c r="D39" s="51"/>
      <c r="E39" s="51"/>
      <c r="F39" s="51"/>
      <c r="G39" s="84" t="s">
        <v>62</v>
      </c>
      <c r="H39" s="85"/>
      <c r="I39" s="15"/>
      <c r="J39" s="15"/>
      <c r="K39" s="15"/>
      <c r="L39" s="86" t="s">
        <v>64</v>
      </c>
      <c r="M39" s="87"/>
    </row>
    <row r="40" spans="2:13" ht="15.5" x14ac:dyDescent="0.35">
      <c r="B40" s="49" t="s">
        <v>49</v>
      </c>
      <c r="C40" s="20">
        <f>'OMC wise Summery'!F33</f>
        <v>152</v>
      </c>
      <c r="D40" s="52"/>
      <c r="E40" s="52"/>
      <c r="F40" s="52"/>
      <c r="G40" s="58" t="s">
        <v>49</v>
      </c>
      <c r="H40" s="19">
        <f>'OMC wise Summery'!S33</f>
        <v>142</v>
      </c>
      <c r="I40" s="15"/>
      <c r="J40" s="15"/>
      <c r="K40" s="16"/>
      <c r="L40" s="50" t="s">
        <v>49</v>
      </c>
      <c r="M40" s="18">
        <f>'OMC wise Summery'!AF33</f>
        <v>90</v>
      </c>
    </row>
    <row r="41" spans="2:13" ht="15.5" x14ac:dyDescent="0.35">
      <c r="B41" s="49" t="s">
        <v>50</v>
      </c>
      <c r="C41" s="20">
        <f>'OMC wise Summery'!G33</f>
        <v>67</v>
      </c>
      <c r="D41" s="52"/>
      <c r="E41" s="52"/>
      <c r="F41" s="52"/>
      <c r="G41" s="58" t="s">
        <v>50</v>
      </c>
      <c r="H41" s="19">
        <f>'OMC wise Summery'!T33</f>
        <v>126</v>
      </c>
      <c r="I41" s="15"/>
      <c r="J41" s="15"/>
      <c r="K41" s="16"/>
      <c r="L41" s="50" t="s">
        <v>50</v>
      </c>
      <c r="M41" s="18">
        <f>'OMC wise Summery'!AG33</f>
        <v>72</v>
      </c>
    </row>
    <row r="42" spans="2:13" ht="15.5" x14ac:dyDescent="0.35">
      <c r="B42" s="49" t="s">
        <v>51</v>
      </c>
      <c r="C42" s="20">
        <f>'OMC wise Summery'!I33</f>
        <v>83</v>
      </c>
      <c r="D42" s="52"/>
      <c r="E42" s="52"/>
      <c r="F42" s="52"/>
      <c r="G42" s="58" t="s">
        <v>51</v>
      </c>
      <c r="H42" s="19">
        <f>'OMC wise Summery'!V33</f>
        <v>827</v>
      </c>
      <c r="I42" s="15"/>
      <c r="J42" s="15"/>
      <c r="K42" s="16"/>
      <c r="L42" s="50" t="s">
        <v>51</v>
      </c>
      <c r="M42" s="61">
        <f>'OMC wise Summery'!AI33</f>
        <v>650.4</v>
      </c>
    </row>
    <row r="43" spans="2:13" ht="15.5" x14ac:dyDescent="0.35">
      <c r="B43" s="49" t="s">
        <v>52</v>
      </c>
      <c r="C43" s="20">
        <f>'OMC wise Summery'!J33</f>
        <v>323</v>
      </c>
      <c r="D43" s="52"/>
      <c r="E43" s="52"/>
      <c r="F43" s="52"/>
      <c r="G43" s="58" t="s">
        <v>52</v>
      </c>
      <c r="H43" s="19">
        <f>'OMC wise Summery'!W33</f>
        <v>305</v>
      </c>
      <c r="I43" s="15"/>
      <c r="J43" s="15"/>
      <c r="K43" s="16"/>
      <c r="L43" s="50" t="s">
        <v>52</v>
      </c>
      <c r="M43" s="18">
        <f>'OMC wise Summery'!AJ33</f>
        <v>288</v>
      </c>
    </row>
    <row r="44" spans="2:13" ht="15.5" x14ac:dyDescent="0.35">
      <c r="B44" s="49" t="s">
        <v>58</v>
      </c>
      <c r="C44" s="20">
        <f>'OMC wise Summery'!K33</f>
        <v>30</v>
      </c>
      <c r="D44" s="52"/>
      <c r="E44" s="52"/>
      <c r="F44" s="52"/>
      <c r="G44" s="58" t="s">
        <v>58</v>
      </c>
      <c r="H44" s="19">
        <f>'OMC wise Summery'!X33</f>
        <v>96</v>
      </c>
      <c r="I44" s="15"/>
      <c r="J44" s="15"/>
      <c r="K44" s="16"/>
      <c r="L44" s="50" t="s">
        <v>58</v>
      </c>
      <c r="M44" s="18">
        <f>'OMC wise Summery'!AK33</f>
        <v>146</v>
      </c>
    </row>
    <row r="45" spans="2:13" ht="31" x14ac:dyDescent="0.35">
      <c r="B45" s="49" t="s">
        <v>59</v>
      </c>
      <c r="C45" s="20">
        <f>'OMC wise Summery'!L33</f>
        <v>1796</v>
      </c>
      <c r="D45" s="53"/>
      <c r="E45" s="53"/>
      <c r="F45" s="53"/>
      <c r="G45" s="58" t="s">
        <v>59</v>
      </c>
      <c r="H45" s="59">
        <f>'OMC wise Summery'!Y33</f>
        <v>1789</v>
      </c>
      <c r="I45" s="15"/>
      <c r="J45" s="15"/>
      <c r="K45" s="16"/>
      <c r="L45" s="50" t="s">
        <v>59</v>
      </c>
      <c r="M45" s="61">
        <f>'OMC wise Summery'!AL33</f>
        <v>1285</v>
      </c>
    </row>
    <row r="46" spans="2:13" ht="31" x14ac:dyDescent="0.35">
      <c r="B46" s="49" t="s">
        <v>60</v>
      </c>
      <c r="C46" s="20">
        <f>'OMC wise Summery'!M33</f>
        <v>3136</v>
      </c>
      <c r="D46" s="53"/>
      <c r="E46" s="53"/>
      <c r="F46" s="53"/>
      <c r="G46" s="58" t="s">
        <v>60</v>
      </c>
      <c r="H46" s="59">
        <f>'OMC wise Summery'!Z33</f>
        <v>2762</v>
      </c>
      <c r="L46" s="50" t="s">
        <v>60</v>
      </c>
      <c r="M46" s="61">
        <f>'OMC wise Summery'!AM33</f>
        <v>2572</v>
      </c>
    </row>
    <row r="47" spans="2:13" ht="15.5" x14ac:dyDescent="0.35">
      <c r="C47" s="21"/>
      <c r="D47" s="21"/>
      <c r="E47" s="21"/>
      <c r="F47" s="21"/>
      <c r="G47" s="94"/>
    </row>
  </sheetData>
  <mergeCells count="19">
    <mergeCell ref="B39:C39"/>
    <mergeCell ref="L39:M39"/>
    <mergeCell ref="I2:I3"/>
    <mergeCell ref="K2:K3"/>
    <mergeCell ref="L2:M2"/>
    <mergeCell ref="C2:C3"/>
    <mergeCell ref="G2:G3"/>
    <mergeCell ref="G39:H39"/>
    <mergeCell ref="J2:J3"/>
    <mergeCell ref="A1:O1"/>
    <mergeCell ref="B34:C34"/>
    <mergeCell ref="G34:H34"/>
    <mergeCell ref="L34:M34"/>
    <mergeCell ref="D2:F2"/>
    <mergeCell ref="H2:H3"/>
    <mergeCell ref="B2:B3"/>
    <mergeCell ref="A2:A3"/>
    <mergeCell ref="A32:B32"/>
    <mergeCell ref="N2:O2"/>
  </mergeCells>
  <pageMargins left="0.23622047244094491" right="0.23622047244094491" top="0.74803149606299213" bottom="0.74803149606299213" header="0.31496062992125984" footer="0.31496062992125984"/>
  <pageSetup paperSize="9"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OMC wise Summery</vt:lpstr>
      <vt:lpstr>Sheet3</vt:lpstr>
      <vt:lpstr>Sheet2</vt:lpstr>
      <vt:lpstr>Sheet1</vt:lpstr>
      <vt:lpstr>Total 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2026-04-28T07:40:11Z</dcterms:modified>
</cp:coreProperties>
</file>